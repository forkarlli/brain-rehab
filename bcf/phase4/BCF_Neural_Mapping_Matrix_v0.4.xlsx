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3_Mapping_Matrix" sheetId="2" state="visible" r:id="rId4"/>
    <sheet name="L4_L6_Index_Mapping" sheetId="3" state="visible" r:id="rId5"/>
    <sheet name="Neural_Systems_Ref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PONS </t>
        </r>
        <r>
          <rPr>
            <sz val="10"/>
            <rFont val="Noto Sans CJK SC"/>
            <family val="2"/>
          </rPr>
          <t xml:space="preserve">含 </t>
        </r>
        <r>
          <rPr>
            <sz val="10"/>
            <rFont val="Arial"/>
            <family val="2"/>
          </rPr>
          <t xml:space="preserve">OPN</t>
        </r>
        <r>
          <rPr>
            <sz val="10"/>
            <rFont val="Noto Sans CJK SC"/>
            <family val="2"/>
          </rPr>
          <t xml:space="preserve">。鐵律：</t>
        </r>
        <r>
          <rPr>
            <sz val="10"/>
            <rFont val="Arial"/>
            <family val="2"/>
          </rPr>
          <t xml:space="preserve">OPN </t>
        </r>
        <r>
          <rPr>
            <sz val="10"/>
            <rFont val="Noto Sans CJK SC"/>
            <family val="2"/>
          </rPr>
          <t xml:space="preserve">中線不側化。</t>
        </r>
      </text>
    </comment>
    <comment ref="T1" authorId="0">
      <text>
        <r>
          <rPr>
            <sz val="10"/>
            <rFont val="Arial"/>
            <family val="2"/>
          </rPr>
          <t xml:space="preserve">NON-LOCALIZING</t>
        </r>
        <r>
          <rPr>
            <sz val="10"/>
            <rFont val="Noto Sans CJK SC"/>
            <family val="2"/>
          </rPr>
          <t xml:space="preserve">：症狀影響但不指向腦區。
此欄若填 </t>
        </r>
        <r>
          <rPr>
            <sz val="10"/>
            <rFont val="Arial"/>
            <family val="2"/>
          </rPr>
          <t xml:space="preserve">PRIMARY</t>
        </r>
        <r>
          <rPr>
            <sz val="10"/>
            <rFont val="Noto Sans CJK SC"/>
            <family val="2"/>
          </rPr>
          <t xml:space="preserve">，代表該題純屬 </t>
        </r>
        <r>
          <rPr>
            <sz val="10"/>
            <rFont val="Arial"/>
            <family val="2"/>
          </rPr>
          <t xml:space="preserve">impact</t>
        </r>
        <r>
          <rPr>
            <sz val="10"/>
            <rFont val="Noto Sans CJK SC"/>
            <family val="2"/>
          </rPr>
          <t xml:space="preserve">，不進 </t>
        </r>
        <r>
          <rPr>
            <sz val="10"/>
            <rFont val="Arial"/>
            <family val="2"/>
          </rPr>
          <t xml:space="preserve">localization</t>
        </r>
        <r>
          <rPr>
            <sz val="10"/>
            <rFont val="Noto Sans CJK SC"/>
            <family val="2"/>
          </rPr>
          <t xml:space="preserve">。
</t>
        </r>
        <r>
          <rPr>
            <sz val="10"/>
            <rFont val="Arial"/>
            <family val="2"/>
          </rPr>
          <t xml:space="preserve">Claude </t>
        </r>
        <r>
          <rPr>
            <sz val="10"/>
            <rFont val="Noto Sans CJK SC"/>
            <family val="2"/>
          </rPr>
          <t xml:space="preserve">建議 </t>
        </r>
        <r>
          <rPr>
            <sz val="10"/>
            <rFont val="Arial"/>
            <family val="2"/>
          </rPr>
          <t xml:space="preserve">DAILY_FUNCTION 8 </t>
        </r>
        <r>
          <rPr>
            <sz val="10"/>
            <rFont val="Noto Sans CJK SC"/>
            <family val="2"/>
          </rPr>
          <t xml:space="preserve">題只填此欄。
待 </t>
        </r>
        <r>
          <rPr>
            <sz val="10"/>
            <rFont val="Arial"/>
            <family val="2"/>
          </rPr>
          <t xml:space="preserve">ChatGPT </t>
        </r>
        <r>
          <rPr>
            <sz val="10"/>
            <rFont val="Noto Sans CJK SC"/>
            <family val="2"/>
          </rPr>
          <t xml:space="preserve">裁決。</t>
        </r>
      </text>
    </comment>
    <comment ref="X1" authorId="0">
      <text>
        <r>
          <rPr>
            <sz val="10"/>
            <rFont val="Arial"/>
            <family val="2"/>
          </rPr>
          <t xml:space="preserve">🔴 OCULOMOTOR </t>
        </r>
        <r>
          <rPr>
            <sz val="10"/>
            <rFont val="Noto Sans CJK SC"/>
            <family val="2"/>
          </rPr>
          <t xml:space="preserve">全部 </t>
        </r>
        <r>
          <rPr>
            <sz val="10"/>
            <rFont val="Arial"/>
            <family val="2"/>
          </rPr>
          <t xml:space="preserve">8 </t>
        </r>
        <r>
          <rPr>
            <sz val="10"/>
            <rFont val="Noto Sans CJK SC"/>
            <family val="2"/>
          </rPr>
          <t xml:space="preserve">題必須為 </t>
        </r>
        <r>
          <rPr>
            <sz val="10"/>
            <rFont val="Arial"/>
            <family val="2"/>
          </rPr>
          <t xml:space="preserve">N</t>
        </r>
        <r>
          <rPr>
            <sz val="10"/>
            <rFont val="Noto Sans CJK SC"/>
            <family val="2"/>
          </rPr>
          <t xml:space="preserve">。
</t>
        </r>
        <r>
          <rPr>
            <sz val="10"/>
            <rFont val="Arial"/>
            <family val="2"/>
          </rPr>
          <t xml:space="preserve">OD/OS </t>
        </r>
        <r>
          <rPr>
            <sz val="10"/>
            <rFont val="Noto Sans CJK SC"/>
            <family val="2"/>
          </rPr>
          <t xml:space="preserve">不推方向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側化（零容忍）。
</t>
        </r>
        <r>
          <rPr>
            <sz val="10"/>
            <rFont val="Arial"/>
            <family val="2"/>
          </rPr>
          <t xml:space="preserve">CBL-03 </t>
        </r>
        <r>
          <rPr>
            <sz val="10"/>
            <rFont val="Noto Sans CJK SC"/>
            <family val="2"/>
          </rPr>
          <t xml:space="preserve">即使為 </t>
        </r>
        <r>
          <rPr>
            <sz val="10"/>
            <rFont val="Arial"/>
            <family val="2"/>
          </rPr>
          <t xml:space="preserve">Y</t>
        </r>
        <r>
          <rPr>
            <sz val="10"/>
            <rFont val="Noto Sans CJK SC"/>
            <family val="2"/>
          </rPr>
          <t xml:space="preserve">，也須依 </t>
        </r>
        <r>
          <rPr>
            <sz val="10"/>
            <rFont val="Arial"/>
            <family val="2"/>
          </rPr>
          <t xml:space="preserve">§3.2 </t>
        </r>
        <r>
          <rPr>
            <sz val="10"/>
            <rFont val="Noto Sans CJK SC"/>
            <family val="2"/>
          </rPr>
          <t xml:space="preserve">走雙候選，單題不得硬指。</t>
        </r>
      </text>
    </comment>
  </commentList>
</comments>
</file>

<file path=xl/sharedStrings.xml><?xml version="1.0" encoding="utf-8"?>
<sst xmlns="http://schemas.openxmlformats.org/spreadsheetml/2006/main" count="831" uniqueCount="452">
  <si>
    <t xml:space="preserve">BCF Neural Mapping Matrix v0.3 — Phase 4 Clinical Draft</t>
  </si>
  <si>
    <t xml:space="preserve">48-item mapping populated by ChatGPT System Architect; pending Gemini independent review and PM approval</t>
  </si>
  <si>
    <t xml:space="preserve">配套文件</t>
  </si>
  <si>
    <r>
      <rPr>
        <sz val="10"/>
        <rFont val="Arial"/>
        <family val="0"/>
        <charset val="1"/>
      </rPr>
      <t xml:space="preserve">BCF_QUESTION_BANK_v0.1.md</t>
    </r>
    <r>
      <rPr>
        <sz val="10"/>
        <rFont val="Noto Sans CJK SC"/>
        <family val="2"/>
      </rPr>
      <t xml:space="preserve">（題目權威來源）</t>
    </r>
    <r>
      <rPr>
        <sz val="10"/>
        <rFont val="Arial"/>
        <family val="0"/>
        <charset val="1"/>
      </rPr>
      <t xml:space="preserve">· BCF_DATA_DICTIONARY_v0.1.md</t>
    </r>
    <r>
      <rPr>
        <sz val="10"/>
        <rFont val="Noto Sans CJK SC"/>
        <family val="2"/>
      </rPr>
      <t xml:space="preserve">（欄位定義）</t>
    </r>
  </si>
  <si>
    <t xml:space="preserve">🟡 STATUS</t>
  </si>
  <si>
    <t xml:space="preserve">PHASE 4 CLINICAL DRAFT / ChatGPT mapping complete / Gemini review ☐ / PM approval ☐</t>
  </si>
  <si>
    <t xml:space="preserve">🔴 DO NOT IMPLEMENT</t>
  </si>
  <si>
    <t xml:space="preserve">Report §9.3 — No production implementation before BCDM v1.0 is approved.</t>
  </si>
  <si>
    <t xml:space="preserve">為什麼權重是空的</t>
  </si>
  <si>
    <r>
      <rPr>
        <sz val="10"/>
        <rFont val="Arial"/>
        <family val="0"/>
        <charset val="1"/>
      </rPr>
      <t xml:space="preserve">Project Collaboration Report §8 </t>
    </r>
    <r>
      <rPr>
        <sz val="10"/>
        <rFont val="Noto Sans CJK SC"/>
        <family val="2"/>
      </rPr>
      <t xml:space="preserve">把 </t>
    </r>
    <r>
      <rPr>
        <sz val="10"/>
        <rFont val="Arial"/>
        <family val="0"/>
        <charset val="1"/>
      </rPr>
      <t xml:space="preserve">clinical architecture / Decision Engine </t>
    </r>
    <r>
      <rPr>
        <sz val="10"/>
        <rFont val="Noto Sans CJK SC"/>
        <family val="2"/>
      </rPr>
      <t xml:space="preserve">指派給 </t>
    </r>
    <r>
      <rPr>
        <sz val="10"/>
        <rFont val="Arial"/>
        <family val="0"/>
        <charset val="1"/>
      </rPr>
      <t xml:space="preserve">ChatGPT</t>
    </r>
    <r>
      <rPr>
        <sz val="10"/>
        <rFont val="Noto Sans CJK SC"/>
        <family val="2"/>
      </rPr>
      <t xml:space="preserve">，</t>
    </r>
  </si>
  <si>
    <t xml:space="preserve">把 documentation / schema / implementation 指派給 Claude。指派神經權重是臨床決策。</t>
  </si>
  <si>
    <r>
      <rPr>
        <sz val="10"/>
        <rFont val="Arial"/>
        <family val="0"/>
        <charset val="1"/>
      </rPr>
      <t xml:space="preserve">Claude Code </t>
    </r>
    <r>
      <rPr>
        <sz val="10"/>
        <rFont val="Noto Sans CJK SC"/>
        <family val="2"/>
      </rPr>
      <t xml:space="preserve">建立容器與驗證邏輯，不填任何權重值 —— 這不是遺漏，是分工。</t>
    </r>
  </si>
  <si>
    <t xml:space="preserve">工作表</t>
  </si>
  <si>
    <t xml:space="preserve">README</t>
  </si>
  <si>
    <t xml:space="preserve">本頁。說明、圖例、鐵律。</t>
  </si>
  <si>
    <t xml:space="preserve">L3_Mapping_Matrix</t>
  </si>
  <si>
    <r>
      <rPr>
        <sz val="10"/>
        <rFont val="Arial"/>
        <family val="0"/>
        <charset val="1"/>
      </rPr>
      <t xml:space="preserve">48 </t>
    </r>
    <r>
      <rPr>
        <sz val="10"/>
        <rFont val="Noto Sans CJK SC"/>
        <family val="2"/>
      </rPr>
      <t xml:space="preserve">個 </t>
    </r>
    <r>
      <rPr>
        <sz val="10"/>
        <rFont val="Arial"/>
        <family val="0"/>
        <charset val="1"/>
      </rPr>
      <t xml:space="preserve">Layer 3 </t>
    </r>
    <r>
      <rPr>
        <sz val="10"/>
        <rFont val="Noto Sans CJK SC"/>
        <family val="2"/>
      </rPr>
      <t xml:space="preserve">候選題 </t>
    </r>
    <r>
      <rPr>
        <sz val="10"/>
        <rFont val="Arial"/>
        <family val="0"/>
        <charset val="1"/>
      </rPr>
      <t xml:space="preserve">× 16 </t>
    </r>
    <r>
      <rPr>
        <sz val="10"/>
        <rFont val="Noto Sans CJK SC"/>
        <family val="2"/>
      </rPr>
      <t xml:space="preserve">個神經系統。★ 專家在此填寫。</t>
    </r>
  </si>
  <si>
    <t xml:space="preserve">L4_L6_Index_Mapping</t>
  </si>
  <si>
    <r>
      <rPr>
        <sz val="10"/>
        <rFont val="Arial"/>
        <family val="0"/>
        <charset val="1"/>
      </rPr>
      <t xml:space="preserve">Layer 4 / Layer 6 </t>
    </r>
    <r>
      <rPr>
        <sz val="10"/>
        <rFont val="Noto Sans CJK SC"/>
        <family val="2"/>
      </rPr>
      <t xml:space="preserve">題目 → 指數對映。已由 </t>
    </r>
    <r>
      <rPr>
        <sz val="10"/>
        <rFont val="Arial"/>
        <family val="0"/>
        <charset val="1"/>
      </rPr>
      <t xml:space="preserve">BCDM </t>
    </r>
    <r>
      <rPr>
        <sz val="10"/>
        <rFont val="Noto Sans CJK SC"/>
        <family val="2"/>
      </rPr>
      <t xml:space="preserve">決定，唯讀參考。</t>
    </r>
  </si>
  <si>
    <t xml:space="preserve">Neural_Systems_Ref</t>
  </si>
  <si>
    <r>
      <rPr>
        <sz val="10"/>
        <rFont val="Arial"/>
        <family val="0"/>
        <charset val="1"/>
      </rPr>
      <t xml:space="preserve">16 </t>
    </r>
    <r>
      <rPr>
        <sz val="10"/>
        <rFont val="Noto Sans CJK SC"/>
        <family val="2"/>
      </rPr>
      <t xml:space="preserve">個欄位的定義與側化規則。</t>
    </r>
  </si>
  <si>
    <t xml:space="preserve">圖例（Legend）</t>
  </si>
  <si>
    <t xml:space="preserve">黃色儲存格</t>
  </si>
  <si>
    <t xml:space="preserve">★ 請填寫。這些是唯一需要人工輸入的欄位。</t>
  </si>
  <si>
    <t xml:space="preserve">灰色儲存格</t>
  </si>
  <si>
    <t xml:space="preserve">公式推導，請勿覆寫。改了會讓驗證失效。</t>
  </si>
  <si>
    <t xml:space="preserve">米色列（第 2 列）</t>
  </si>
  <si>
    <t xml:space="preserve">範例列，示範填寫格式。審查完成後請刪除整列。</t>
  </si>
  <si>
    <t xml:space="preserve">關聯層級（ChatGPT 架構審 2026-07-27 裁定：三級，不填數值）</t>
  </si>
  <si>
    <t xml:space="preserve">留空</t>
  </si>
  <si>
    <t xml:space="preserve">無關聯</t>
  </si>
  <si>
    <t xml:space="preserve">SUPPORTIVE</t>
  </si>
  <si>
    <t xml:space="preserve">支持性 —— 該系統受損「可能」表現此症狀，但非特異</t>
  </si>
  <si>
    <t xml:space="preserve">SECONDARY</t>
  </si>
  <si>
    <t xml:space="preserve">次要 —— 常見表現，但不足以單獨指向</t>
  </si>
  <si>
    <t xml:space="preserve">PRIMARY</t>
  </si>
  <si>
    <t xml:space="preserve">主要 —— 該系統受損的核心表現</t>
  </si>
  <si>
    <r>
      <rPr>
        <sz val="10"/>
        <rFont val="Arial"/>
        <family val="0"/>
        <charset val="1"/>
      </rPr>
      <t xml:space="preserve">🔴 v0.1 </t>
    </r>
    <r>
      <rPr>
        <sz val="10"/>
        <rFont val="Noto Sans CJK SC"/>
        <family val="2"/>
      </rPr>
      <t xml:space="preserve">刻意</t>
    </r>
    <r>
      <rPr>
        <sz val="10"/>
        <rFont val="Arial"/>
        <family val="0"/>
        <charset val="1"/>
      </rPr>
      <t xml:space="preserve">**</t>
    </r>
    <r>
      <rPr>
        <sz val="10"/>
        <rFont val="Noto Sans CJK SC"/>
        <family val="2"/>
      </rPr>
      <t xml:space="preserve">不使用數值權重</t>
    </r>
    <r>
      <rPr>
        <sz val="10"/>
        <rFont val="Arial"/>
        <family val="0"/>
        <charset val="1"/>
      </rPr>
      <t xml:space="preserve">**</t>
    </r>
    <r>
      <rPr>
        <sz val="10"/>
        <rFont val="Noto Sans CJK SC"/>
        <family val="2"/>
      </rPr>
      <t xml:space="preserve">。架構審裁決：</t>
    </r>
  </si>
  <si>
    <t xml:space="preserve">  「目前沒有任何人可以合理說 Parietal=0.73 / FEF=0.41 —— 這是假精確。」</t>
  </si>
  <si>
    <t xml:space="preserve">  未來有真實資料後，再由三級轉換為數值。第一版必須符合 expert knowledge 的真實粒度。</t>
  </si>
  <si>
    <t xml:space="preserve">💡 允許同一題出現多個 PRIMARY —— WHITE_PAPER §3.1.3 的小腦雙候選需要它。</t>
  </si>
  <si>
    <t xml:space="preserve">  狀態欄會標「雙候選 N 個」，供審查者確認那是刻意的，不是漏改。</t>
  </si>
  <si>
    <t xml:space="preserve">🔴 側化鐵律（零容忍，來源：7/25 §九）</t>
  </si>
  <si>
    <r>
      <rPr>
        <b val="true"/>
        <sz val="10"/>
        <color rgb="FFC00000"/>
        <rFont val="Arial"/>
        <family val="0"/>
        <charset val="1"/>
      </rPr>
      <t xml:space="preserve">OD/OS </t>
    </r>
    <r>
      <rPr>
        <b val="true"/>
        <sz val="10"/>
        <color rgb="FFC00000"/>
        <rFont val="Noto Sans CJK SC"/>
        <family val="2"/>
      </rPr>
      <t xml:space="preserve">不推方向／不側化</t>
    </r>
  </si>
  <si>
    <t xml:space="preserve">側化規則：中腦與皮質同側、小腦對側</t>
  </si>
  <si>
    <r>
      <rPr>
        <b val="true"/>
        <sz val="10"/>
        <color rgb="FFC00000"/>
        <rFont val="Arial"/>
        <family val="0"/>
        <charset val="1"/>
      </rPr>
      <t xml:space="preserve">OPN </t>
    </r>
    <r>
      <rPr>
        <b val="true"/>
        <sz val="10"/>
        <color rgb="FFC00000"/>
        <rFont val="Noto Sans CJK SC"/>
        <family val="2"/>
      </rPr>
      <t xml:space="preserve">中線不側化</t>
    </r>
  </si>
  <si>
    <r>
      <rPr>
        <sz val="10"/>
        <rFont val="Arial"/>
        <family val="0"/>
        <charset val="1"/>
      </rPr>
      <t xml:space="preserve">→ OCULOMOTOR domain </t>
    </r>
    <r>
      <rPr>
        <sz val="10"/>
        <rFont val="Noto Sans CJK SC"/>
        <family val="2"/>
      </rPr>
      <t xml:space="preserve">全部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題不得對映到任何「側別」輸出。</t>
    </r>
  </si>
  <si>
    <r>
      <rPr>
        <sz val="10"/>
        <rFont val="Arial"/>
        <family val="0"/>
        <charset val="1"/>
      </rPr>
      <t xml:space="preserve">→ 48 </t>
    </r>
    <r>
      <rPr>
        <sz val="10"/>
        <rFont val="Noto Sans CJK SC"/>
        <family val="2"/>
      </rPr>
      <t xml:space="preserve">題中唯一帶方向資訊的是 </t>
    </r>
    <r>
      <rPr>
        <sz val="10"/>
        <rFont val="Arial"/>
        <family val="0"/>
        <charset val="1"/>
      </rPr>
      <t xml:space="preserve">QB-L3-CBL-03</t>
    </r>
    <r>
      <rPr>
        <sz val="10"/>
        <rFont val="Noto Sans CJK SC"/>
        <family val="2"/>
      </rPr>
      <t xml:space="preserve">（走路偏一側）。</t>
    </r>
  </si>
  <si>
    <t xml:space="preserve">   依 WHITE_PAPER §3.2，小腦側化為雙候選結構，單題不得產生側化輸出。</t>
  </si>
  <si>
    <r>
      <rPr>
        <b val="true"/>
        <sz val="12"/>
        <color rgb="FF1F3864"/>
        <rFont val="Arial"/>
        <family val="0"/>
        <charset val="1"/>
      </rPr>
      <t xml:space="preserve">🔴 White Paper §3 </t>
    </r>
    <r>
      <rPr>
        <b val="true"/>
        <sz val="12"/>
        <color rgb="FF1F3864"/>
        <rFont val="Noto Sans CJK SC"/>
        <family val="2"/>
      </rPr>
      <t xml:space="preserve">雙候選規則</t>
    </r>
  </si>
  <si>
    <r>
      <rPr>
        <sz val="10"/>
        <rFont val="Arial"/>
        <family val="0"/>
        <charset val="1"/>
      </rPr>
      <t xml:space="preserve">Right Hypermetria → ↓R Fastigial </t>
    </r>
    <r>
      <rPr>
        <sz val="10"/>
        <rFont val="Noto Sans CJK SC"/>
        <family val="2"/>
      </rPr>
      <t xml:space="preserve">或 ↓</t>
    </r>
    <r>
      <rPr>
        <sz val="10"/>
        <rFont val="Arial"/>
        <family val="0"/>
        <charset val="1"/>
      </rPr>
      <t xml:space="preserve">L Purkinje</t>
    </r>
    <r>
      <rPr>
        <sz val="10"/>
        <rFont val="Noto Sans CJK SC"/>
        <family val="2"/>
      </rPr>
      <t xml:space="preserve">（左向鏡像）</t>
    </r>
  </si>
  <si>
    <t xml:space="preserve">證據不足 → 輸出 primary + alternative，或降級 UNSPECIFIED_CEREBELLAR_DYSMETRIA。禁硬指。</t>
  </si>
  <si>
    <t xml:space="preserve">→ 本矩陣允許同一題對多個系統給權重，正是為了支援雙候選。</t>
  </si>
  <si>
    <t xml:space="preserve">⚠ 待 ChatGPT 裁決：DAILY_FUNCTION 是否排除於 localization</t>
  </si>
  <si>
    <t xml:space="preserve">「不敢出門」不指向任何腦區。若 DFN 進 localization 權重，</t>
  </si>
  <si>
    <t xml:space="preserve">會產生虛假的定位信心（§4.1 虛高% 的同款病灶）。</t>
  </si>
  <si>
    <r>
      <rPr>
        <sz val="10"/>
        <rFont val="Arial"/>
        <family val="0"/>
        <charset val="1"/>
      </rPr>
      <t xml:space="preserve">→ Claude </t>
    </r>
    <r>
      <rPr>
        <sz val="10"/>
        <rFont val="Noto Sans CJK SC"/>
        <family val="2"/>
      </rPr>
      <t xml:space="preserve">建議：</t>
    </r>
    <r>
      <rPr>
        <sz val="10"/>
        <rFont val="Arial"/>
        <family val="0"/>
        <charset val="1"/>
      </rPr>
      <t xml:space="preserve">DFN 8 </t>
    </r>
    <r>
      <rPr>
        <sz val="10"/>
        <rFont val="Noto Sans CJK SC"/>
        <family val="2"/>
      </rPr>
      <t xml:space="preserve">題只在 </t>
    </r>
    <r>
      <rPr>
        <sz val="10"/>
        <rFont val="Arial"/>
        <family val="0"/>
        <charset val="1"/>
      </rPr>
      <t xml:space="preserve">NONLOC </t>
    </r>
    <r>
      <rPr>
        <sz val="10"/>
        <rFont val="Noto Sans CJK SC"/>
        <family val="2"/>
      </rPr>
      <t xml:space="preserve">欄給值，其餘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欄留空。</t>
    </r>
  </si>
  <si>
    <t xml:space="preserve">   矩陣未強制此規則，留給 ChatGPT 裁決。</t>
  </si>
  <si>
    <t xml:space="preserve">⚠ 本矩陣不涵蓋 Phase 5 選題</t>
  </si>
  <si>
    <r>
      <rPr>
        <sz val="10"/>
        <rFont val="Arial"/>
        <family val="0"/>
        <charset val="1"/>
      </rPr>
      <t xml:space="preserve">Core24_Candidate </t>
    </r>
    <r>
      <rPr>
        <sz val="10"/>
        <rFont val="Noto Sans CJK SC"/>
        <family val="2"/>
      </rPr>
      <t xml:space="preserve">欄位僅供標記，不代表已選定。</t>
    </r>
  </si>
  <si>
    <r>
      <rPr>
        <sz val="10"/>
        <rFont val="Arial"/>
        <family val="0"/>
        <charset val="1"/>
      </rPr>
      <t xml:space="preserve">Report §7 Phase 3 </t>
    </r>
    <r>
      <rPr>
        <sz val="10"/>
        <rFont val="Noto Sans CJK SC"/>
        <family val="2"/>
      </rPr>
      <t xml:space="preserve">明文：</t>
    </r>
    <r>
      <rPr>
        <sz val="10"/>
        <rFont val="Arial"/>
        <family val="0"/>
        <charset val="1"/>
      </rPr>
      <t xml:space="preserve">Do NOT start directly with Core-24</t>
    </r>
    <r>
      <rPr>
        <sz val="10"/>
        <rFont val="Noto Sans CJK SC"/>
        <family val="2"/>
      </rPr>
      <t xml:space="preserve">。</t>
    </r>
  </si>
  <si>
    <t xml:space="preserve">Item_ID</t>
  </si>
  <si>
    <t xml:space="preserve">Domain</t>
  </si>
  <si>
    <t xml:space="preserve">題目 (zh-TW)</t>
  </si>
  <si>
    <t xml:space="preserve">Item (EN)</t>
  </si>
  <si>
    <t xml:space="preserve">PVES
Peripheral Vestibular
(Labyrinth / CN VIII)</t>
  </si>
  <si>
    <t xml:space="preserve">VNUC
Vestibular Nuclei
(Medulla)</t>
  </si>
  <si>
    <t xml:space="preserve">VCBL
Vestibulocerebellum
(Flocculus / Nodulus)</t>
  </si>
  <si>
    <t xml:space="preserve">OMV
Cerebellum – OMV
(Oculomotor Vermis)</t>
  </si>
  <si>
    <t xml:space="preserve">cFN
Cerebellum – Fastigial
(cFN / FOR)</t>
  </si>
  <si>
    <t xml:space="preserve">CBH
Cerebellar Hemisphere
/ Dentate</t>
  </si>
  <si>
    <t xml:space="preserve">MIDB
Brainstem – Midbrain
(INC / riMLF)</t>
  </si>
  <si>
    <t xml:space="preserve">PONS
Brainstem – Pons
(PPRF / MLF / OPN)</t>
  </si>
  <si>
    <t xml:space="preserve">MEDU
Brainstem – Medulla
(NTS / autonomic)</t>
  </si>
  <si>
    <t xml:space="preserve">FEF
Cortex – Frontal
(FEF / DLPFC)</t>
  </si>
  <si>
    <t xml:space="preserve">PAR
Cortex – Parietal</t>
  </si>
  <si>
    <t xml:space="preserve">TEMP
Cortex – Temporal
(vestibular cortex)</t>
  </si>
  <si>
    <t xml:space="preserve">BG
Basal Ganglia</t>
  </si>
  <si>
    <t xml:space="preserve">AUTO
Autonomic
(Symp / Parasymp)</t>
  </si>
  <si>
    <t xml:space="preserve">CERV
Cervical
Proprioception</t>
  </si>
  <si>
    <t xml:space="preserve">NONLOC
NON-LOCALIZING
(impact only)</t>
  </si>
  <si>
    <t xml:space="preserve">Mappings_Entered</t>
  </si>
  <si>
    <t xml:space="preserve">Primary_Count</t>
  </si>
  <si>
    <t xml:space="preserve">Primary_System</t>
  </si>
  <si>
    <t xml:space="preserve">Laterality</t>
  </si>
  <si>
    <t xml:space="preserve">ITEM_REVIEW_REQUIRED</t>
  </si>
  <si>
    <t xml:space="preserve">review_reason</t>
  </si>
  <si>
    <t xml:space="preserve">recommended_action</t>
  </si>
  <si>
    <t xml:space="preserve">Reviewer_Notes</t>
  </si>
  <si>
    <t xml:space="preserve">Mapping_Status</t>
  </si>
  <si>
    <t xml:space="preserve">EXAMPLE-DELETE-ME</t>
  </si>
  <si>
    <t xml:space="preserve">VESTIBULAR</t>
  </si>
  <si>
    <t xml:space="preserve">（範例）轉頭時天旋地轉</t>
  </si>
  <si>
    <t xml:space="preserve">(example) Spinning on head turn</t>
  </si>
  <si>
    <t xml:space="preserve">NOT_APPLICABLE</t>
  </si>
  <si>
    <t xml:space="preserve">N</t>
  </si>
  <si>
    <t xml:space="preserve">範例：填完審查後刪除本列</t>
  </si>
  <si>
    <t xml:space="preserve">QB-L3-VES-01</t>
  </si>
  <si>
    <t xml:space="preserve">轉動頭部時感到旋轉或天旋地轉</t>
  </si>
  <si>
    <t xml:space="preserve">Spinning/vertigo on head turn</t>
  </si>
  <si>
    <t xml:space="preserve">QB-L3-VES-02</t>
  </si>
  <si>
    <t xml:space="preserve">躺下、起身或翻身時出現短暫暈眩</t>
  </si>
  <si>
    <t xml:space="preserve">Brief positional vertigo</t>
  </si>
  <si>
    <r>
      <rPr>
        <sz val="10"/>
        <rFont val="Noto Sans CJK SC"/>
        <family val="2"/>
      </rPr>
      <t xml:space="preserve">僅產生 </t>
    </r>
    <r>
      <rPr>
        <sz val="10"/>
        <rFont val="Arial"/>
        <family val="0"/>
        <charset val="1"/>
      </rPr>
      <t xml:space="preserve">POSITIONAL_VERTIGO_PHENOTYPE</t>
    </r>
    <r>
      <rPr>
        <sz val="10"/>
        <rFont val="Noto Sans CJK SC"/>
        <family val="2"/>
      </rPr>
      <t xml:space="preserve">；不得由問卷判定 </t>
    </r>
    <r>
      <rPr>
        <sz val="10"/>
        <rFont val="Arial"/>
        <family val="0"/>
        <charset val="1"/>
      </rPr>
      <t xml:space="preserve">canal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geotropic/ageotropic </t>
    </r>
    <r>
      <rPr>
        <sz val="10"/>
        <rFont val="Noto Sans CJK SC"/>
        <family val="2"/>
      </rPr>
      <t xml:space="preserve">或側別。</t>
    </r>
  </si>
  <si>
    <t xml:space="preserve">QB-L3-VES-03</t>
  </si>
  <si>
    <t xml:space="preserve">站立或行走時覺得搖晃、像踩在船上</t>
  </si>
  <si>
    <t xml:space="preserve">Unsteadiness / floating sensation</t>
  </si>
  <si>
    <t xml:space="preserve">QB-L3-VES-04</t>
  </si>
  <si>
    <t xml:space="preserve">在超市貨架、人群或花紋地板等視覺複雜環境中不適</t>
  </si>
  <si>
    <t xml:space="preserve">Visual-complexity intolerance</t>
  </si>
  <si>
    <t xml:space="preserve">QB-L3-VES-05</t>
  </si>
  <si>
    <t xml:space="preserve">快速轉頭時視線短暫模糊或跳動</t>
  </si>
  <si>
    <t xml:space="preserve">Oscillopsia on rapid head movement</t>
  </si>
  <si>
    <t xml:space="preserve">QB-L3-VES-06</t>
  </si>
  <si>
    <t xml:space="preserve">搭車、電梯或手扶梯時症狀加重</t>
  </si>
  <si>
    <t xml:space="preserve">Motion-provoked aggravation</t>
  </si>
  <si>
    <t xml:space="preserve">QB-L3-VES-07</t>
  </si>
  <si>
    <t xml:space="preserve">每次暈眩發作在一分鐘內就停止</t>
  </si>
  <si>
    <t xml:space="preserve">Attacks resolving within one minute</t>
  </si>
  <si>
    <r>
      <rPr>
        <sz val="10"/>
        <rFont val="Noto Sans CJK SC"/>
        <family val="2"/>
      </rPr>
      <t xml:space="preserve">短於一分鐘只支持 </t>
    </r>
    <r>
      <rPr>
        <sz val="10"/>
        <rFont val="Arial"/>
        <family val="0"/>
        <charset val="1"/>
      </rPr>
      <t xml:space="preserve">positional/episodic phenotype</t>
    </r>
    <r>
      <rPr>
        <sz val="10"/>
        <rFont val="Noto Sans CJK SC"/>
        <family val="2"/>
      </rPr>
      <t xml:space="preserve">；不能單獨確認 </t>
    </r>
    <r>
      <rPr>
        <sz val="10"/>
        <rFont val="Arial"/>
        <family val="0"/>
        <charset val="1"/>
      </rPr>
      <t xml:space="preserve">BPPV</t>
    </r>
    <r>
      <rPr>
        <sz val="10"/>
        <rFont val="Noto Sans CJK SC"/>
        <family val="2"/>
      </rPr>
      <t xml:space="preserve">。</t>
    </r>
  </si>
  <si>
    <t xml:space="preserve">QB-L3-VES-08</t>
  </si>
  <si>
    <t xml:space="preserve">暈眩伴隨耳鳴、耳悶或聽力變化</t>
  </si>
  <si>
    <t xml:space="preserve">Vertigo with cochlear symptoms</t>
  </si>
  <si>
    <t xml:space="preserve">QB-L3-OCM-01</t>
  </si>
  <si>
    <t xml:space="preserve">OCULOMOTOR</t>
  </si>
  <si>
    <t xml:space="preserve">閱讀時會跳行，或需要用手指指著才讀得下去</t>
  </si>
  <si>
    <t xml:space="preserve">Line-skipping while reading</t>
  </si>
  <si>
    <r>
      <rPr>
        <sz val="10"/>
        <rFont val="Arial"/>
        <family val="0"/>
        <charset val="1"/>
      </rPr>
      <t xml:space="preserve">NO LATERALITY FROM QUESTIONNAIRE</t>
    </r>
    <r>
      <rPr>
        <sz val="10"/>
        <rFont val="Noto Sans CJK SC"/>
        <family val="2"/>
      </rPr>
      <t xml:space="preserve">。</t>
    </r>
  </si>
  <si>
    <t xml:space="preserve">QB-L3-OCM-02</t>
  </si>
  <si>
    <t xml:space="preserve">近距離用眼後眼睛疲勞、痠脹</t>
  </si>
  <si>
    <t xml:space="preserve">Near-work eye strain</t>
  </si>
  <si>
    <t xml:space="preserve">QB-L3-OCM-03</t>
  </si>
  <si>
    <t xml:space="preserve">看遠看近切換時對焦變慢或模糊</t>
  </si>
  <si>
    <t xml:space="preserve">Slowed accommodative shift</t>
  </si>
  <si>
    <t xml:space="preserve">QB-L3-OCM-04</t>
  </si>
  <si>
    <t xml:space="preserve">出現短暫或持續的複視（看到兩個影像）</t>
  </si>
  <si>
    <t xml:space="preserve">Diplopia</t>
  </si>
  <si>
    <t xml:space="preserve">Y</t>
  </si>
  <si>
    <t xml:space="preserve">TOO_BROAD</t>
  </si>
  <si>
    <t xml:space="preserve">KEEP_AS_NON_LOCALIZING</t>
  </si>
  <si>
    <r>
      <rPr>
        <sz val="10"/>
        <rFont val="Arial"/>
        <family val="0"/>
        <charset val="1"/>
      </rPr>
      <t xml:space="preserve">OCM-04 </t>
    </r>
    <r>
      <rPr>
        <sz val="10"/>
        <rFont val="Noto Sans CJK SC"/>
        <family val="2"/>
      </rPr>
      <t xml:space="preserve">依 </t>
    </r>
    <r>
      <rPr>
        <sz val="10"/>
        <rFont val="Arial"/>
        <family val="0"/>
        <charset val="1"/>
      </rPr>
      <t xml:space="preserve">PM </t>
    </r>
    <r>
      <rPr>
        <sz val="10"/>
        <rFont val="Noto Sans CJK SC"/>
        <family val="2"/>
      </rPr>
      <t xml:space="preserve">裁決 </t>
    </r>
    <r>
      <rPr>
        <sz val="10"/>
        <rFont val="Arial"/>
        <family val="0"/>
        <charset val="1"/>
      </rPr>
      <t xml:space="preserve">Option B </t>
    </r>
    <r>
      <rPr>
        <sz val="10"/>
        <rFont val="Noto Sans CJK SC"/>
        <family val="2"/>
      </rPr>
      <t xml:space="preserve">降為 </t>
    </r>
    <r>
      <rPr>
        <sz val="10"/>
        <rFont val="Arial"/>
        <family val="0"/>
        <charset val="1"/>
      </rPr>
      <t xml:space="preserve">NON-LOCALIZING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2026-07-27</t>
    </r>
    <r>
      <rPr>
        <sz val="10"/>
        <rFont val="Noto Sans CJK SC"/>
        <family val="2"/>
      </rPr>
      <t xml:space="preserve">）：自陳複視無法區分核上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核性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周邊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機械性，定位交 </t>
    </r>
    <r>
      <rPr>
        <sz val="10"/>
        <rFont val="Arial"/>
        <family val="0"/>
        <charset val="1"/>
      </rPr>
      <t xml:space="preserve">Layer 5</t>
    </r>
  </si>
  <si>
    <t xml:space="preserve">QB-L3-OCM-05</t>
  </si>
  <si>
    <t xml:space="preserve">用眼睛追著移動的物體感到困難</t>
  </si>
  <si>
    <t xml:space="preserve">Difficulty with smooth pursuit</t>
  </si>
  <si>
    <t xml:space="preserve">QB-L3-OCM-06</t>
  </si>
  <si>
    <t xml:space="preserve">螢幕捲動或看快速移動畫面會不舒服</t>
  </si>
  <si>
    <t xml:space="preserve">Scroll / motion-on-screen intolerance</t>
  </si>
  <si>
    <t xml:space="preserve">QB-L3-OCM-07</t>
  </si>
  <si>
    <t xml:space="preserve">難以維持注視同一點，眼睛容易飄走</t>
  </si>
  <si>
    <t xml:space="preserve">Difficulty maintaining fixation</t>
  </si>
  <si>
    <t xml:space="preserve">QB-L3-OCM-08</t>
  </si>
  <si>
    <t xml:space="preserve">對光線敏感、畏光</t>
  </si>
  <si>
    <t xml:space="preserve">Photophobia</t>
  </si>
  <si>
    <t xml:space="preserve">NON_LOCALIZING</t>
  </si>
  <si>
    <t xml:space="preserve">畏光缺乏神經解剖特異性；只作症狀負擔與刺激調整依據。</t>
  </si>
  <si>
    <t xml:space="preserve">QB-L3-CBL-01</t>
  </si>
  <si>
    <t xml:space="preserve">CEREBELLAR</t>
  </si>
  <si>
    <t xml:space="preserve">伸手拿東西時會超過或不到目標位置</t>
  </si>
  <si>
    <t xml:space="preserve">Reaching overshoot / undershoot</t>
  </si>
  <si>
    <r>
      <rPr>
        <sz val="10"/>
        <rFont val="Arial"/>
        <family val="0"/>
        <charset val="1"/>
      </rPr>
      <t xml:space="preserve">OMV Purkinje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cFN output </t>
    </r>
    <r>
      <rPr>
        <sz val="10"/>
        <rFont val="Noto Sans CJK SC"/>
        <family val="2"/>
      </rPr>
      <t xml:space="preserve">為雙候選；方向與側化須由客觀 </t>
    </r>
    <r>
      <rPr>
        <sz val="10"/>
        <rFont val="Arial"/>
        <family val="0"/>
        <charset val="1"/>
      </rPr>
      <t xml:space="preserve">dysmetria pattern </t>
    </r>
    <r>
      <rPr>
        <sz val="10"/>
        <rFont val="Noto Sans CJK SC"/>
        <family val="2"/>
      </rPr>
      <t xml:space="preserve">判定。</t>
    </r>
  </si>
  <si>
    <t xml:space="preserve">QB-L3-CBL-02</t>
  </si>
  <si>
    <t xml:space="preserve">精細動作變笨拙（扣鈕扣、寫字、用筷子）</t>
  </si>
  <si>
    <t xml:space="preserve">Fine-motor clumsiness</t>
  </si>
  <si>
    <t xml:space="preserve">QB-L3-CBL-03</t>
  </si>
  <si>
    <t xml:space="preserve">走路時會偏向某一側</t>
  </si>
  <si>
    <t xml:space="preserve">Veering to one side when walking</t>
  </si>
  <si>
    <t xml:space="preserve">REQUIRES_OBJECTIVE_CONFIRMATION</t>
  </si>
  <si>
    <r>
      <rPr>
        <sz val="10"/>
        <rFont val="Noto Sans CJK SC"/>
        <family val="2"/>
      </rPr>
      <t xml:space="preserve">走路偏側保留方向線索，但單題不得輸出 </t>
    </r>
    <r>
      <rPr>
        <sz val="10"/>
        <rFont val="Arial"/>
        <family val="0"/>
        <charset val="1"/>
      </rPr>
      <t xml:space="preserve">lesion side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PRIMARY_PLUS_ALTERNATIVE</t>
    </r>
    <r>
      <rPr>
        <sz val="10"/>
        <rFont val="Noto Sans CJK SC"/>
        <family val="2"/>
      </rPr>
      <t xml:space="preserve">。</t>
    </r>
  </si>
  <si>
    <t xml:space="preserve">QB-L3-CBL-04</t>
  </si>
  <si>
    <t xml:space="preserve">走直線或腳跟接腳尖行走有困難</t>
  </si>
  <si>
    <t xml:space="preserve">Tandem gait difficulty</t>
  </si>
  <si>
    <t xml:space="preserve">QB-L3-CBL-05</t>
  </si>
  <si>
    <t xml:space="preserve">說話含糊、節奏不順或斷斷續續</t>
  </si>
  <si>
    <t xml:space="preserve">Dysarthria / scanning speech</t>
  </si>
  <si>
    <t xml:space="preserve">QB-L3-CBL-06</t>
  </si>
  <si>
    <t xml:space="preserve">動作開始後很難平順地停下來</t>
  </si>
  <si>
    <t xml:space="preserve">Difficulty terminating movement</t>
  </si>
  <si>
    <t xml:space="preserve">QB-L3-CBL-07</t>
  </si>
  <si>
    <t xml:space="preserve">快速反覆的動作（如快速翻手掌）做不順</t>
  </si>
  <si>
    <t xml:space="preserve">Dysdiadochokinesia</t>
  </si>
  <si>
    <t xml:space="preserve">QB-L3-CBL-08</t>
  </si>
  <si>
    <t xml:space="preserve">就算睜著眼睛站著也會搖晃不穩</t>
  </si>
  <si>
    <t xml:space="preserve">Unsteady even with eyes open</t>
  </si>
  <si>
    <t xml:space="preserve">QB-L3-COG-01</t>
  </si>
  <si>
    <t xml:space="preserve">COGNITIVE</t>
  </si>
  <si>
    <t xml:space="preserve">忘記剛剛說過或剛做過的事</t>
  </si>
  <si>
    <t xml:space="preserve">Forgetting just-said / just-done</t>
  </si>
  <si>
    <t xml:space="preserve">QB-L3-COG-02</t>
  </si>
  <si>
    <t xml:space="preserve">難以同時處理兩件事（如邊走邊講話）</t>
  </si>
  <si>
    <t xml:space="preserve">Dual-task difficulty</t>
  </si>
  <si>
    <t xml:space="preserve">QB-L3-COG-03</t>
  </si>
  <si>
    <t xml:space="preserve">注意力難以持續、容易分心</t>
  </si>
  <si>
    <t xml:space="preserve">Sustained-attention difficulty</t>
  </si>
  <si>
    <t xml:space="preserve">QB-L3-COG-04</t>
  </si>
  <si>
    <t xml:space="preserve">找詞困難、話到嘴邊說不出來</t>
  </si>
  <si>
    <t xml:space="preserve">Word-finding difficulty</t>
  </si>
  <si>
    <t xml:space="preserve">QB-L3-COG-05</t>
  </si>
  <si>
    <t xml:space="preserve">思考變慢、反應時間變長</t>
  </si>
  <si>
    <t xml:space="preserve">Slowed processing speed</t>
  </si>
  <si>
    <t xml:space="preserve">QB-L3-COG-06</t>
  </si>
  <si>
    <t xml:space="preserve">在熟悉的環境中方向感變差</t>
  </si>
  <si>
    <t xml:space="preserve">Impaired spatial navigation</t>
  </si>
  <si>
    <t xml:space="preserve">QB-L3-COG-07</t>
  </si>
  <si>
    <t xml:space="preserve">計畫與安排日常事務變得困難</t>
  </si>
  <si>
    <t xml:space="preserve">Executive planning difficulty</t>
  </si>
  <si>
    <t xml:space="preserve">QB-L3-COG-08</t>
  </si>
  <si>
    <t xml:space="preserve">用腦之後頭暈或頭痛會加重</t>
  </si>
  <si>
    <t xml:space="preserve">Cognitive-exertion aggravation</t>
  </si>
  <si>
    <t xml:space="preserve">用腦後症狀加重是耐受／負荷現象，不足以指向特定神經系統。</t>
  </si>
  <si>
    <t xml:space="preserve">QB-L3-BSA-01</t>
  </si>
  <si>
    <t xml:space="preserve">BRAINSTEM_AUTONOMIC</t>
  </si>
  <si>
    <t xml:space="preserve">起身站立時頭暈、眼前發黑</t>
  </si>
  <si>
    <t xml:space="preserve">Orthostatic dizziness</t>
  </si>
  <si>
    <t xml:space="preserve">QB-L3-BSA-02</t>
  </si>
  <si>
    <t xml:space="preserve">心悸，或感覺心跳明顯加快</t>
  </si>
  <si>
    <t xml:space="preserve">Palpitations / tachycardia</t>
  </si>
  <si>
    <t xml:space="preserve">QB-L3-BSA-03</t>
  </si>
  <si>
    <t xml:space="preserve">手腳冰冷，或流汗異常（過多或過少）</t>
  </si>
  <si>
    <t xml:space="preserve">Sudomotor abnormality</t>
  </si>
  <si>
    <t xml:space="preserve">QB-L3-BSA-04</t>
  </si>
  <si>
    <t xml:space="preserve">吞嚥困難或容易嗆到</t>
  </si>
  <si>
    <t xml:space="preserve">Dysphagia / choking</t>
  </si>
  <si>
    <t xml:space="preserve">QB-L3-BSA-05</t>
  </si>
  <si>
    <t xml:space="preserve">噁心或腸胃不適</t>
  </si>
  <si>
    <t xml:space="preserve">Nausea / GI discomfort</t>
  </si>
  <si>
    <t xml:space="preserve">QB-L3-BSA-06</t>
  </si>
  <si>
    <t xml:space="preserve">呼吸急促或覺得吸不到氣</t>
  </si>
  <si>
    <t xml:space="preserve">Dyspnea / air hunger</t>
  </si>
  <si>
    <t xml:space="preserve">QB-L3-BSA-07</t>
  </si>
  <si>
    <t xml:space="preserve">對熱或冷的耐受度變差</t>
  </si>
  <si>
    <t xml:space="preserve">Thermal intolerance</t>
  </si>
  <si>
    <t xml:space="preserve">QB-L3-BSA-08</t>
  </si>
  <si>
    <t xml:space="preserve">睡覺時被告知有打鼾嚴重或呼吸中斷</t>
  </si>
  <si>
    <t xml:space="preserve">Witnessed snoring / apnea</t>
  </si>
  <si>
    <t xml:space="preserve">REQUIRES_OBJECTIVE_TEST</t>
  </si>
  <si>
    <t xml:space="preserve">打鼾或呼吸中斷需睡眠評估／呼吸監測；病人自陳不可定位腦幹病灶。</t>
  </si>
  <si>
    <t xml:space="preserve">QB-L3-DFN-01</t>
  </si>
  <si>
    <t xml:space="preserve">DAILY_FUNCTION</t>
  </si>
  <si>
    <t xml:space="preserve">因為症狀而減少外出或社交</t>
  </si>
  <si>
    <t xml:space="preserve">Reduced outings / social activity</t>
  </si>
  <si>
    <r>
      <rPr>
        <sz val="10"/>
        <rFont val="Arial"/>
        <family val="0"/>
        <charset val="1"/>
      </rPr>
      <t xml:space="preserve">Functional impact only</t>
    </r>
    <r>
      <rPr>
        <sz val="10"/>
        <rFont val="Noto Sans CJK SC"/>
        <family val="2"/>
      </rPr>
      <t xml:space="preserve">：可進 </t>
    </r>
    <r>
      <rPr>
        <sz val="10"/>
        <rFont val="Arial"/>
        <family val="0"/>
        <charset val="1"/>
      </rPr>
      <t xml:space="preserve">Severity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Functional Impact</t>
    </r>
    <r>
      <rPr>
        <sz val="10"/>
        <rFont val="Noto Sans CJK SC"/>
        <family val="2"/>
      </rPr>
      <t xml:space="preserve">，不進 </t>
    </r>
    <r>
      <rPr>
        <sz val="10"/>
        <rFont val="Arial"/>
        <family val="0"/>
        <charset val="1"/>
      </rPr>
      <t xml:space="preserve">localization</t>
    </r>
    <r>
      <rPr>
        <sz val="10"/>
        <rFont val="Noto Sans CJK SC"/>
        <family val="2"/>
      </rPr>
      <t xml:space="preserve">、不提高 </t>
    </r>
    <r>
      <rPr>
        <sz val="10"/>
        <rFont val="Arial"/>
        <family val="0"/>
        <charset val="1"/>
      </rPr>
      <t xml:space="preserve">LCI</t>
    </r>
    <r>
      <rPr>
        <sz val="10"/>
        <rFont val="Noto Sans CJK SC"/>
        <family val="2"/>
      </rPr>
      <t xml:space="preserve">。</t>
    </r>
  </si>
  <si>
    <t xml:space="preserve">QB-L3-DFN-02</t>
  </si>
  <si>
    <t xml:space="preserve">上下樓梯或走不平路面感到困難或害怕</t>
  </si>
  <si>
    <t xml:space="preserve">Stairs / uneven-surface difficulty</t>
  </si>
  <si>
    <t xml:space="preserve">QB-L3-DFN-03</t>
  </si>
  <si>
    <t xml:space="preserve">開車或騎車受到影響</t>
  </si>
  <si>
    <t xml:space="preserve">Driving / riding affected</t>
  </si>
  <si>
    <t xml:space="preserve">QB-L3-DFN-04</t>
  </si>
  <si>
    <t xml:space="preserve">工作或學業表現受到影響</t>
  </si>
  <si>
    <t xml:space="preserve">Work / study performance affected</t>
  </si>
  <si>
    <t xml:space="preserve">QB-L3-DFN-05</t>
  </si>
  <si>
    <t xml:space="preserve">需要別人協助才能完成日常活動</t>
  </si>
  <si>
    <t xml:space="preserve">Requires assistance with ADLs</t>
  </si>
  <si>
    <t xml:space="preserve">QB-L3-DFN-06</t>
  </si>
  <si>
    <t xml:space="preserve">因為害怕跌倒而改變行動方式</t>
  </si>
  <si>
    <t xml:space="preserve">Fall-related activity modification</t>
  </si>
  <si>
    <t xml:space="preserve">QB-L3-DFN-07</t>
  </si>
  <si>
    <t xml:space="preserve">運動或體能活動量減少</t>
  </si>
  <si>
    <t xml:space="preserve">Reduced exercise / activity</t>
  </si>
  <si>
    <t xml:space="preserve">QB-L3-DFN-08</t>
  </si>
  <si>
    <t xml:space="preserve">症狀影響情緒（焦慮、沮喪、易怒）</t>
  </si>
  <si>
    <t xml:space="preserve">Emotional impact of symptoms</t>
  </si>
  <si>
    <t xml:space="preserve">填寫進度（不含範例列）</t>
  </si>
  <si>
    <t xml:space="preserve">候選題總數</t>
  </si>
  <si>
    <t xml:space="preserve">已建立對映的題數</t>
  </si>
  <si>
    <t xml:space="preserve">未填的題數</t>
  </si>
  <si>
    <t xml:space="preserve">⚠ 有對映但無 PRIMARY 的題數</t>
  </si>
  <si>
    <t xml:space="preserve">雙候選題數（小腦預期 &gt;0）</t>
  </si>
  <si>
    <t xml:space="preserve">完成百分比</t>
  </si>
  <si>
    <t xml:space="preserve">標記為側化的題數</t>
  </si>
  <si>
    <r>
      <rPr>
        <b val="true"/>
        <sz val="10"/>
        <color rgb="FFC00000"/>
        <rFont val="Arial"/>
        <family val="0"/>
        <charset val="1"/>
      </rPr>
      <t xml:space="preserve">🔴 §⑫1 </t>
    </r>
    <r>
      <rPr>
        <b val="true"/>
        <sz val="10"/>
        <color rgb="FFC00000"/>
        <rFont val="Noto Sans CJK SC"/>
        <family val="2"/>
      </rPr>
      <t xml:space="preserve">未完成 </t>
    </r>
    <r>
      <rPr>
        <b val="true"/>
        <sz val="10"/>
        <color rgb="FFC00000"/>
        <rFont val="Arial"/>
        <family val="0"/>
        <charset val="1"/>
      </rPr>
      <t xml:space="preserve">mapping </t>
    </r>
    <r>
      <rPr>
        <b val="true"/>
        <sz val="10"/>
        <color rgb="FFC00000"/>
        <rFont val="Noto Sans CJK SC"/>
        <family val="2"/>
      </rPr>
      <t xml:space="preserve">的題數（須為 </t>
    </r>
    <r>
      <rPr>
        <b val="true"/>
        <sz val="10"/>
        <color rgb="FFC00000"/>
        <rFont val="Arial"/>
        <family val="0"/>
        <charset val="1"/>
      </rPr>
      <t xml:space="preserve">0</t>
    </r>
    <r>
      <rPr>
        <b val="true"/>
        <sz val="10"/>
        <color rgb="FFC00000"/>
        <rFont val="Noto Sans CJK SC"/>
        <family val="2"/>
      </rPr>
      <t xml:space="preserve">）</t>
    </r>
  </si>
  <si>
    <r>
      <rPr>
        <b val="true"/>
        <sz val="10"/>
        <color rgb="FFC00000"/>
        <rFont val="Arial"/>
        <family val="0"/>
        <charset val="1"/>
      </rPr>
      <t xml:space="preserve">🔴 §⑫3 3+ PRIMARY </t>
    </r>
    <r>
      <rPr>
        <b val="true"/>
        <sz val="10"/>
        <color rgb="FFC00000"/>
        <rFont val="Noto Sans CJK SC"/>
        <family val="2"/>
      </rPr>
      <t xml:space="preserve">未標 </t>
    </r>
    <r>
      <rPr>
        <b val="true"/>
        <sz val="10"/>
        <color rgb="FFC00000"/>
        <rFont val="Arial"/>
        <family val="0"/>
        <charset val="1"/>
      </rPr>
      <t xml:space="preserve">REVIEW</t>
    </r>
    <r>
      <rPr>
        <b val="true"/>
        <sz val="10"/>
        <color rgb="FFC00000"/>
        <rFont val="Noto Sans CJK SC"/>
        <family val="2"/>
      </rPr>
      <t xml:space="preserve">（須為 </t>
    </r>
    <r>
      <rPr>
        <b val="true"/>
        <sz val="10"/>
        <color rgb="FFC00000"/>
        <rFont val="Arial"/>
        <family val="0"/>
        <charset val="1"/>
      </rPr>
      <t xml:space="preserve">0</t>
    </r>
    <r>
      <rPr>
        <b val="true"/>
        <sz val="10"/>
        <color rgb="FFC00000"/>
        <rFont val="Noto Sans CJK SC"/>
        <family val="2"/>
      </rPr>
      <t xml:space="preserve">）</t>
    </r>
  </si>
  <si>
    <r>
      <rPr>
        <b val="true"/>
        <sz val="10"/>
        <color rgb="FFC00000"/>
        <rFont val="Arial"/>
        <family val="0"/>
        <charset val="1"/>
      </rPr>
      <t xml:space="preserve">🔴 REVIEW </t>
    </r>
    <r>
      <rPr>
        <b val="true"/>
        <sz val="10"/>
        <color rgb="FFC00000"/>
        <rFont val="Noto Sans CJK SC"/>
        <family val="2"/>
      </rPr>
      <t xml:space="preserve">缺理由或處置（須為 </t>
    </r>
    <r>
      <rPr>
        <b val="true"/>
        <sz val="10"/>
        <color rgb="FFC00000"/>
        <rFont val="Arial"/>
        <family val="0"/>
        <charset val="1"/>
      </rPr>
      <t xml:space="preserve">0</t>
    </r>
    <r>
      <rPr>
        <b val="true"/>
        <sz val="10"/>
        <color rgb="FFC00000"/>
        <rFont val="Noto Sans CJK SC"/>
        <family val="2"/>
      </rPr>
      <t xml:space="preserve">）</t>
    </r>
  </si>
  <si>
    <r>
      <rPr>
        <b val="true"/>
        <sz val="10"/>
        <color rgb="FFC00000"/>
        <rFont val="Arial"/>
        <family val="0"/>
        <charset val="1"/>
      </rPr>
      <t xml:space="preserve">🔴 §⑫4 OCM </t>
    </r>
    <r>
      <rPr>
        <b val="true"/>
        <sz val="10"/>
        <color rgb="FFC00000"/>
        <rFont val="Noto Sans CJK SC"/>
        <family val="2"/>
      </rPr>
      <t xml:space="preserve">側化違規（須為 </t>
    </r>
    <r>
      <rPr>
        <b val="true"/>
        <sz val="10"/>
        <color rgb="FFC00000"/>
        <rFont val="Arial"/>
        <family val="0"/>
        <charset val="1"/>
      </rPr>
      <t xml:space="preserve">0</t>
    </r>
    <r>
      <rPr>
        <b val="true"/>
        <sz val="10"/>
        <color rgb="FFC00000"/>
        <rFont val="Noto Sans CJK SC"/>
        <family val="2"/>
      </rPr>
      <t xml:space="preserve">）</t>
    </r>
  </si>
  <si>
    <r>
      <rPr>
        <b val="true"/>
        <sz val="10"/>
        <color rgb="FFC00000"/>
        <rFont val="Arial"/>
        <family val="0"/>
        <charset val="1"/>
      </rPr>
      <t xml:space="preserve">🔴 §⑫5 DFN </t>
    </r>
    <r>
      <rPr>
        <b val="true"/>
        <sz val="10"/>
        <color rgb="FFC00000"/>
        <rFont val="Noto Sans CJK SC"/>
        <family val="2"/>
      </rPr>
      <t xml:space="preserve">進 </t>
    </r>
    <r>
      <rPr>
        <b val="true"/>
        <sz val="10"/>
        <color rgb="FFC00000"/>
        <rFont val="Arial"/>
        <family val="0"/>
        <charset val="1"/>
      </rPr>
      <t xml:space="preserve">localization</t>
    </r>
    <r>
      <rPr>
        <b val="true"/>
        <sz val="10"/>
        <color rgb="FFC00000"/>
        <rFont val="Noto Sans CJK SC"/>
        <family val="2"/>
      </rPr>
      <t xml:space="preserve">（須為 </t>
    </r>
    <r>
      <rPr>
        <b val="true"/>
        <sz val="10"/>
        <color rgb="FFC00000"/>
        <rFont val="Arial"/>
        <family val="0"/>
        <charset val="1"/>
      </rPr>
      <t xml:space="preserve">0</t>
    </r>
    <r>
      <rPr>
        <b val="true"/>
        <sz val="10"/>
        <color rgb="FFC00000"/>
        <rFont val="Noto Sans CJK SC"/>
        <family val="2"/>
      </rPr>
      <t xml:space="preserve">）</t>
    </r>
  </si>
  <si>
    <t xml:space="preserve">標記 ITEM_REVIEW_REQUIRED 的題數</t>
  </si>
  <si>
    <t xml:space="preserve">狀態 OK 的題數</t>
  </si>
  <si>
    <t xml:space="preserve">⚠ 上方統計排除第 2 列範例列（資料列為第 3 列起）。</t>
  </si>
  <si>
    <t xml:space="preserve">Layer</t>
  </si>
  <si>
    <t xml:space="preserve">Section</t>
  </si>
  <si>
    <t xml:space="preserve">→ 目標指數</t>
  </si>
  <si>
    <t xml:space="preserve">備註 / 警示</t>
  </si>
  <si>
    <t xml:space="preserve">QB-L4-RF-01</t>
  </si>
  <si>
    <t xml:space="preserve">L4</t>
  </si>
  <si>
    <t xml:space="preserve">Safety Red Flag</t>
  </si>
  <si>
    <t xml:space="preserve">新發生劇烈頭痛</t>
  </si>
  <si>
    <t xml:space="preserve">safety_flag</t>
  </si>
  <si>
    <r>
      <rPr>
        <sz val="10"/>
        <rFont val="Arial"/>
        <family val="0"/>
        <charset val="1"/>
      </rPr>
      <t xml:space="preserve">GATE ONLY — </t>
    </r>
    <r>
      <rPr>
        <sz val="10"/>
        <rFont val="Noto Sans CJK SC"/>
        <family val="2"/>
      </rPr>
      <t xml:space="preserve">不進任何分數</t>
    </r>
  </si>
  <si>
    <t xml:space="preserve">QB-L4-RF-02</t>
  </si>
  <si>
    <t xml:space="preserve">突發複視/視野缺損/口齒不清/吞嚥困難或嗆到/單側無力</t>
  </si>
  <si>
    <t xml:space="preserve">GATE ONLY</t>
  </si>
  <si>
    <t xml:space="preserve">QB-L4-RF-03</t>
  </si>
  <si>
    <t xml:space="preserve">突發聽力下降/單側耳鳴加劇</t>
  </si>
  <si>
    <t xml:space="preserve">QB-L4-RF-04</t>
  </si>
  <si>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天內昏厥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瀕暈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跌倒</t>
    </r>
  </si>
  <si>
    <t xml:space="preserve">QB-L4-RF-05</t>
  </si>
  <si>
    <t xml:space="preserve">發燒/感染/急性生病</t>
  </si>
  <si>
    <t xml:space="preserve">QB-L4-RF-06</t>
  </si>
  <si>
    <t xml:space="preserve">胸痛/心悸/呼吸困難</t>
  </si>
  <si>
    <t xml:space="preserve">QB-L4-BTRI-01</t>
  </si>
  <si>
    <t xml:space="preserve">BTRI Sleep</t>
  </si>
  <si>
    <t xml:space="preserve">昨晚睡眠時數不足</t>
  </si>
  <si>
    <t xml:space="preserve">TTI</t>
  </si>
  <si>
    <t xml:space="preserve">burden 0-4</t>
  </si>
  <si>
    <t xml:space="preserve">QB-L4-BTRI-02</t>
  </si>
  <si>
    <t xml:space="preserve">昨晚睡眠品質差/夜醒</t>
  </si>
  <si>
    <t xml:space="preserve">QB-L4-BTRI-03</t>
  </si>
  <si>
    <t xml:space="preserve">起床後仍疲倦、沒有恢復</t>
  </si>
  <si>
    <t xml:space="preserve">QB-L4-BTRI-04</t>
  </si>
  <si>
    <t xml:space="preserve">BTRI Fatigue</t>
  </si>
  <si>
    <t xml:space="preserve">現在身體疲勞程度</t>
  </si>
  <si>
    <t xml:space="preserve">QB-L4-BTRI-05</t>
  </si>
  <si>
    <t xml:space="preserve">現在腦力/專注疲勞程度</t>
  </si>
  <si>
    <t xml:space="preserve">QB-L4-BTRI-06</t>
  </si>
  <si>
    <t xml:space="preserve">BTRI Stress</t>
  </si>
  <si>
    <t xml:space="preserve">現在壓力或焦慮程度</t>
  </si>
  <si>
    <t xml:space="preserve">QB-L4-BTRI-07</t>
  </si>
  <si>
    <t xml:space="preserve">BTRI Headache</t>
  </si>
  <si>
    <t xml:space="preserve">現在頭痛或頭脹程度</t>
  </si>
  <si>
    <t xml:space="preserve">QB-L4-BTRI-08</t>
  </si>
  <si>
    <t xml:space="preserve">BTRI Condition</t>
  </si>
  <si>
    <t xml:space="preserve">現在頭暈或不穩程度</t>
  </si>
  <si>
    <t xml:space="preserve">⚠ 歸屬待裁決 L3 vs L4</t>
  </si>
  <si>
    <t xml:space="preserve">QB-L4-BTRI-09</t>
  </si>
  <si>
    <t xml:space="preserve">現在頸肩僵硬/疼痛程度</t>
  </si>
  <si>
    <t xml:space="preserve">QB-L4-BTRI-10</t>
  </si>
  <si>
    <t xml:space="preserve">BTRI Recovery</t>
  </si>
  <si>
    <t xml:space="preserve">距上次訓練恢復不完全的程度</t>
  </si>
  <si>
    <t xml:space="preserve">⚠ 與 L6 同名 → L4_BTRI_10_INCOMPLETE_RECOVERY</t>
  </si>
  <si>
    <t xml:space="preserve">QB-L4-BTRI-11</t>
  </si>
  <si>
    <t xml:space="preserve">今天整體體能/行動力下降程度</t>
  </si>
  <si>
    <t xml:space="preserve">QB-L4-BTRI-12</t>
  </si>
  <si>
    <t xml:space="preserve">BTRI Medication</t>
  </si>
  <si>
    <t xml:space="preserve">藥物/咖啡因/酒精與平常不同</t>
  </si>
  <si>
    <t xml:space="preserve">⚠ 單向 scale 無法表達方向</t>
  </si>
  <si>
    <t xml:space="preserve">QB-L6-REC-01</t>
  </si>
  <si>
    <t xml:space="preserve">L6</t>
  </si>
  <si>
    <t xml:space="preserve">Recovery Capacity</t>
  </si>
  <si>
    <t xml:space="preserve">訓練後回到基線所需時間</t>
  </si>
  <si>
    <t xml:space="preserve">NPI</t>
  </si>
  <si>
    <r>
      <rPr>
        <sz val="10"/>
        <rFont val="Arial"/>
        <family val="0"/>
        <charset val="1"/>
      </rPr>
      <t xml:space="preserve">post-load </t>
    </r>
    <r>
      <rPr>
        <sz val="10"/>
        <rFont val="Noto Sans CJK SC"/>
        <family val="2"/>
      </rPr>
      <t xml:space="preserve">生理恢復</t>
    </r>
  </si>
  <si>
    <t xml:space="preserve">QB-L6-REC-02</t>
  </si>
  <si>
    <t xml:space="preserve">訓練後 24h 內疲勞程度</t>
  </si>
  <si>
    <t xml:space="preserve">0-10 NRS</t>
  </si>
  <si>
    <t xml:space="preserve">QB-L6-REC-03</t>
  </si>
  <si>
    <t xml:space="preserve">訓練當晚睡眠品質相較平常</t>
  </si>
  <si>
    <t xml:space="preserve">3-level</t>
  </si>
  <si>
    <t xml:space="preserve">QB-L6-RET-01</t>
  </si>
  <si>
    <t xml:space="preserve">Retention</t>
  </si>
  <si>
    <t xml:space="preserve">上次訓練改善維持多久</t>
  </si>
  <si>
    <t xml:space="preserve">NPI / AVI</t>
  </si>
  <si>
    <t xml:space="preserve">duration bands</t>
  </si>
  <si>
    <t xml:space="preserve">QB-L6-RET-02</t>
  </si>
  <si>
    <t xml:space="preserve">到下次訓練前改善還剩多少</t>
  </si>
  <si>
    <r>
      <rPr>
        <b val="true"/>
        <sz val="10"/>
        <color rgb="FFC00000"/>
        <rFont val="Arial"/>
        <family val="0"/>
        <charset val="1"/>
      </rPr>
      <t xml:space="preserve">⚠ AVI </t>
    </r>
    <r>
      <rPr>
        <b val="true"/>
        <sz val="10"/>
        <color rgb="FFC00000"/>
        <rFont val="Noto Sans CJK SC"/>
        <family val="2"/>
      </rPr>
      <t xml:space="preserve">需 ≥</t>
    </r>
    <r>
      <rPr>
        <b val="true"/>
        <sz val="10"/>
        <color rgb="FFC00000"/>
        <rFont val="Arial"/>
        <family val="0"/>
        <charset val="1"/>
      </rPr>
      <t xml:space="preserve">2 visits</t>
    </r>
    <r>
      <rPr>
        <b val="true"/>
        <sz val="10"/>
        <color rgb="FFC00000"/>
        <rFont val="Noto Sans CJK SC"/>
        <family val="2"/>
      </rPr>
      <t xml:space="preserve">；本版無 </t>
    </r>
    <r>
      <rPr>
        <b val="true"/>
        <sz val="10"/>
        <color rgb="FFC00000"/>
        <rFont val="Arial"/>
        <family val="0"/>
        <charset val="1"/>
      </rPr>
      <t xml:space="preserve">Retention </t>
    </r>
    <r>
      <rPr>
        <b val="true"/>
        <sz val="10"/>
        <color rgb="FFC00000"/>
        <rFont val="Noto Sans CJK SC"/>
        <family val="2"/>
      </rPr>
      <t xml:space="preserve">複合分</t>
    </r>
  </si>
  <si>
    <t xml:space="preserve">QB-L6-RET-03</t>
  </si>
  <si>
    <t xml:space="preserve">本週最好與最壞一天的差距</t>
  </si>
  <si>
    <t xml:space="preserve">QB-L6-SE-01</t>
  </si>
  <si>
    <t xml:space="preserve">Side Effects</t>
  </si>
  <si>
    <t xml:space="preserve">訓練後是否新症狀/原症狀加重</t>
  </si>
  <si>
    <t xml:space="preserve">safety</t>
  </si>
  <si>
    <t xml:space="preserve">GATE ONLY — SG-1</t>
  </si>
  <si>
    <t xml:space="preserve">QB-L6-SE-02</t>
  </si>
  <si>
    <t xml:space="preserve">若有，持續多久</t>
  </si>
  <si>
    <t xml:space="preserve">QB-L6-SE-03</t>
  </si>
  <si>
    <t xml:space="preserve">是否影響當日活動或需就醫</t>
  </si>
  <si>
    <t xml:space="preserve">🔴 需就醫 → 即時通報</t>
  </si>
  <si>
    <t xml:space="preserve">QB-L6-GOA-01</t>
  </si>
  <si>
    <t xml:space="preserve">Goal</t>
  </si>
  <si>
    <t xml:space="preserve">主要目標達成程度</t>
  </si>
  <si>
    <t xml:space="preserve">療效追蹤</t>
  </si>
  <si>
    <t xml:space="preserve">0-100%</t>
  </si>
  <si>
    <t xml:space="preserve">QB-L6-GOA-02</t>
  </si>
  <si>
    <t xml:space="preserve">主訴是否改變</t>
  </si>
  <si>
    <t xml:space="preserve">療效追蹤 / 重評觸發</t>
  </si>
  <si>
    <r>
      <rPr>
        <sz val="10"/>
        <rFont val="Arial"/>
        <family val="0"/>
        <charset val="1"/>
      </rPr>
      <t xml:space="preserve">target-shift </t>
    </r>
    <r>
      <rPr>
        <sz val="10"/>
        <rFont val="Noto Sans CJK SC"/>
        <family val="2"/>
      </rPr>
      <t xml:space="preserve">偵測</t>
    </r>
  </si>
  <si>
    <t xml:space="preserve">QB-L6-FUN-01</t>
  </si>
  <si>
    <t xml:space="preserve">Function</t>
  </si>
  <si>
    <t xml:space="preserve">相較療程開始前的功能改變</t>
  </si>
  <si>
    <t xml:space="preserve">GRC -7..+7</t>
  </si>
  <si>
    <t xml:space="preserve">QB-L6-FUN-02</t>
  </si>
  <si>
    <t xml:space="preserve">相較上次訓練的整體狀況</t>
  </si>
  <si>
    <t xml:space="preserve">AVI</t>
  </si>
  <si>
    <t xml:space="preserve">QB-L6-SAT-01</t>
  </si>
  <si>
    <t xml:space="preserve">Satisfaction</t>
  </si>
  <si>
    <t xml:space="preserve">對本次治療的滿意度</t>
  </si>
  <si>
    <t xml:space="preserve">PENDING_PM_DECISION</t>
  </si>
  <si>
    <t xml:space="preserve">⚠ 不預先寫死；待 PM 裁決</t>
  </si>
  <si>
    <t xml:space="preserve">本表為唯讀參考 —— Layer 4 / Layer 6 的指數對映由 BCDM 決定，不需專家填寫。</t>
  </si>
  <si>
    <r>
      <rPr>
        <b val="true"/>
        <sz val="10"/>
        <color rgb="FFC00000"/>
        <rFont val="Arial"/>
        <family val="0"/>
        <charset val="1"/>
      </rPr>
      <t xml:space="preserve">🔴 Layer 4 / Layer 6 </t>
    </r>
    <r>
      <rPr>
        <b val="true"/>
        <sz val="10"/>
        <color rgb="FFC00000"/>
        <rFont val="Noto Sans CJK SC"/>
        <family val="2"/>
      </rPr>
      <t xml:space="preserve">題目不進 </t>
    </r>
    <r>
      <rPr>
        <b val="true"/>
        <sz val="10"/>
        <color rgb="FFC00000"/>
        <rFont val="Arial"/>
        <family val="0"/>
        <charset val="1"/>
      </rPr>
      <t xml:space="preserve">Core-24</t>
    </r>
    <r>
      <rPr>
        <b val="true"/>
        <sz val="10"/>
        <color rgb="FFC00000"/>
        <rFont val="Noto Sans CJK SC"/>
        <family val="2"/>
      </rPr>
      <t xml:space="preserve">。</t>
    </r>
    <r>
      <rPr>
        <b val="true"/>
        <sz val="10"/>
        <color rgb="FFC00000"/>
        <rFont val="Arial"/>
        <family val="0"/>
        <charset val="1"/>
      </rPr>
      <t xml:space="preserve">Core-24 </t>
    </r>
    <r>
      <rPr>
        <b val="true"/>
        <sz val="10"/>
        <color rgb="FFC00000"/>
        <rFont val="Noto Sans CJK SC"/>
        <family val="2"/>
      </rPr>
      <t xml:space="preserve">只從 </t>
    </r>
    <r>
      <rPr>
        <b val="true"/>
        <sz val="10"/>
        <color rgb="FFC00000"/>
        <rFont val="Arial"/>
        <family val="0"/>
        <charset val="1"/>
      </rPr>
      <t xml:space="preserve">Layer 3 </t>
    </r>
    <r>
      <rPr>
        <b val="true"/>
        <sz val="10"/>
        <color rgb="FFC00000"/>
        <rFont val="Noto Sans CJK SC"/>
        <family val="2"/>
      </rPr>
      <t xml:space="preserve">的 </t>
    </r>
    <r>
      <rPr>
        <b val="true"/>
        <sz val="10"/>
        <color rgb="FFC00000"/>
        <rFont val="Arial"/>
        <family val="0"/>
        <charset val="1"/>
      </rPr>
      <t xml:space="preserve">48 </t>
    </r>
    <r>
      <rPr>
        <b val="true"/>
        <sz val="10"/>
        <color rgb="FFC00000"/>
        <rFont val="Noto Sans CJK SC"/>
        <family val="2"/>
      </rPr>
      <t xml:space="preserve">題選出。</t>
    </r>
  </si>
  <si>
    <r>
      <rPr>
        <b val="true"/>
        <sz val="10"/>
        <color rgb="FFC00000"/>
        <rFont val="Arial"/>
        <family val="0"/>
        <charset val="1"/>
      </rPr>
      <t xml:space="preserve">🔴 Report §6 Principle 5</t>
    </r>
    <r>
      <rPr>
        <b val="true"/>
        <sz val="10"/>
        <color rgb="FFC00000"/>
        <rFont val="Noto Sans CJK SC"/>
        <family val="2"/>
      </rPr>
      <t xml:space="preserve">：訓練強度不得單靠問卷分數。</t>
    </r>
    <r>
      <rPr>
        <b val="true"/>
        <sz val="10"/>
        <color rgb="FFC00000"/>
        <rFont val="Arial"/>
        <family val="0"/>
        <charset val="1"/>
      </rPr>
      <t xml:space="preserve">TTI </t>
    </r>
    <r>
      <rPr>
        <b val="true"/>
        <sz val="10"/>
        <color rgb="FFC00000"/>
        <rFont val="Noto Sans CJK SC"/>
        <family val="2"/>
      </rPr>
      <t xml:space="preserve">是輸入，不是處方。</t>
    </r>
  </si>
  <si>
    <r>
      <rPr>
        <b val="true"/>
        <sz val="10"/>
        <color rgb="FFC00000"/>
        <rFont val="Arial"/>
        <family val="0"/>
        <charset val="1"/>
      </rPr>
      <t xml:space="preserve">🔴 BTRI </t>
    </r>
    <r>
      <rPr>
        <b val="true"/>
        <sz val="10"/>
        <color rgb="FFC00000"/>
        <rFont val="Noto Sans CJK SC"/>
        <family val="2"/>
      </rPr>
      <t xml:space="preserve">分級以「已答題平均分」為準，不是原始總分 —— 原始總分會讓缺答等價於 </t>
    </r>
    <r>
      <rPr>
        <b val="true"/>
        <sz val="10"/>
        <color rgb="FFC00000"/>
        <rFont val="Arial"/>
        <family val="0"/>
        <charset val="1"/>
      </rPr>
      <t xml:space="preserve">0 </t>
    </r>
    <r>
      <rPr>
        <b val="true"/>
        <sz val="10"/>
        <color rgb="FFC00000"/>
        <rFont val="Noto Sans CJK SC"/>
        <family val="2"/>
      </rPr>
      <t xml:space="preserve">分，把病人推向寬鬆分級（違反 </t>
    </r>
    <r>
      <rPr>
        <b val="true"/>
        <sz val="10"/>
        <color rgb="FFC00000"/>
        <rFont val="Arial"/>
        <family val="0"/>
        <charset val="1"/>
      </rPr>
      <t xml:space="preserve">SG-2</t>
    </r>
    <r>
      <rPr>
        <b val="true"/>
        <sz val="10"/>
        <color rgb="FFC00000"/>
        <rFont val="Noto Sans CJK SC"/>
        <family val="2"/>
      </rPr>
      <t xml:space="preserve">）。</t>
    </r>
  </si>
  <si>
    <t xml:space="preserve">⚠ 三個標 ⚠ 的 BTRI 題目（08 歸屬 / 10 命名衝突 / 12 方向性）待治理鏈裁決。</t>
  </si>
  <si>
    <t xml:space="preserve">Code</t>
  </si>
  <si>
    <t xml:space="preserve">神經系統</t>
  </si>
  <si>
    <t xml:space="preserve">側化規則</t>
  </si>
  <si>
    <t xml:space="preserve">備註</t>
  </si>
  <si>
    <t xml:space="preserve">PVES</t>
  </si>
  <si>
    <t xml:space="preserve">Peripheral Vestibular (Labyrinth / CN VIII)</t>
  </si>
  <si>
    <t xml:space="preserve">同側</t>
  </si>
  <si>
    <t xml:space="preserve">周邊前庭。WHITE_PAPER §2.1：交叉以下 → 同側 OTR。</t>
  </si>
  <si>
    <t xml:space="preserve">VNUC</t>
  </si>
  <si>
    <t xml:space="preserve">Vestibular Nuclei (Medulla)</t>
  </si>
  <si>
    <t xml:space="preserve">延髓前庭核，graviceptive 交叉以下 → 同側。</t>
  </si>
  <si>
    <t xml:space="preserve">VCBL</t>
  </si>
  <si>
    <t xml:space="preserve">Vestibulocerebellum (Flocculus / Nodulus)</t>
  </si>
  <si>
    <t xml:space="preserve">對側</t>
  </si>
  <si>
    <t xml:space="preserve">小腦對側（鐵律）。</t>
  </si>
  <si>
    <t xml:space="preserve">OMV</t>
  </si>
  <si>
    <t xml:space="preserve">Cerebellum – OMV (Oculomotor Vermis)</t>
  </si>
  <si>
    <r>
      <rPr>
        <sz val="10"/>
        <rFont val="Arial"/>
        <family val="0"/>
        <charset val="1"/>
      </rPr>
      <t xml:space="preserve">WHITE_PAPER §3.1.1</t>
    </r>
    <r>
      <rPr>
        <sz val="10"/>
        <rFont val="Noto Sans CJK SC"/>
        <family val="2"/>
      </rPr>
      <t xml:space="preserve">：單側 </t>
    </r>
    <r>
      <rPr>
        <sz val="10"/>
        <rFont val="Arial"/>
        <family val="0"/>
        <charset val="1"/>
      </rPr>
      <t xml:space="preserve">OMV Purkinje </t>
    </r>
    <r>
      <rPr>
        <sz val="10"/>
        <rFont val="Noto Sans CJK SC"/>
        <family val="2"/>
      </rPr>
      <t xml:space="preserve">輸出↓ → 同側掃視欠距。</t>
    </r>
    <r>
      <rPr>
        <sz val="10"/>
        <rFont val="Arial"/>
        <family val="0"/>
        <charset val="1"/>
      </rPr>
      <t xml:space="preserve">§3.2 </t>
    </r>
    <r>
      <rPr>
        <sz val="10"/>
        <rFont val="Noto Sans CJK SC"/>
        <family val="2"/>
      </rPr>
      <t xml:space="preserve">為唯一側化來源。</t>
    </r>
  </si>
  <si>
    <t xml:space="preserve">cFN</t>
  </si>
  <si>
    <t xml:space="preserve">Cerebellum – Fastigial (cFN / FOR)</t>
  </si>
  <si>
    <r>
      <rPr>
        <sz val="10"/>
        <rFont val="Arial"/>
        <family val="0"/>
        <charset val="1"/>
      </rPr>
      <t xml:space="preserve">§3.1.2 Ipsipulsion</t>
    </r>
    <r>
      <rPr>
        <sz val="10"/>
        <rFont val="Noto Sans CJK SC"/>
        <family val="2"/>
      </rPr>
      <t xml:space="preserve">：同側 </t>
    </r>
    <r>
      <rPr>
        <sz val="10"/>
        <rFont val="Arial"/>
        <family val="0"/>
        <charset val="1"/>
      </rPr>
      <t xml:space="preserve">Hypermetria + </t>
    </r>
    <r>
      <rPr>
        <sz val="10"/>
        <rFont val="Noto Sans CJK SC"/>
        <family val="2"/>
      </rPr>
      <t xml:space="preserve">對側 </t>
    </r>
    <r>
      <rPr>
        <sz val="10"/>
        <rFont val="Arial"/>
        <family val="0"/>
        <charset val="1"/>
      </rPr>
      <t xml:space="preserve">Hypometria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§3.2 </t>
    </r>
    <r>
      <rPr>
        <sz val="10"/>
        <rFont val="Noto Sans CJK SC"/>
        <family val="2"/>
      </rPr>
      <t xml:space="preserve">雙候選。</t>
    </r>
  </si>
  <si>
    <t xml:space="preserve">CBH</t>
  </si>
  <si>
    <t xml:space="preserve">Cerebellar Hemisphere / Dentate</t>
  </si>
  <si>
    <t xml:space="preserve">小腦半球/齒狀核。v1.1：雙側齒狀核自成 canonical，不映 Fastigial。</t>
  </si>
  <si>
    <t xml:space="preserve">MIDB</t>
  </si>
  <si>
    <t xml:space="preserve">Brainstem – Midbrain (INC / riMLF)</t>
  </si>
  <si>
    <t xml:space="preserve">中腦與皮質同側（鐵律）。§2.1：交叉以上 → 對側 OTR。</t>
  </si>
  <si>
    <t xml:space="preserve">PONS</t>
  </si>
  <si>
    <t xml:space="preserve">Brainstem – Pons (PPRF / MLF / OPN)</t>
  </si>
  <si>
    <t xml:space="preserve">視結構而定</t>
  </si>
  <si>
    <r>
      <rPr>
        <b val="true"/>
        <sz val="10"/>
        <color rgb="FFC00000"/>
        <rFont val="Arial"/>
        <family val="0"/>
        <charset val="1"/>
      </rPr>
      <t xml:space="preserve">🔴 OPN </t>
    </r>
    <r>
      <rPr>
        <b val="true"/>
        <sz val="10"/>
        <color rgb="FFC00000"/>
        <rFont val="Noto Sans CJK SC"/>
        <family val="2"/>
      </rPr>
      <t xml:space="preserve">中線不側化（鐵律）。</t>
    </r>
    <r>
      <rPr>
        <b val="true"/>
        <sz val="10"/>
        <color rgb="FFC00000"/>
        <rFont val="Arial"/>
        <family val="0"/>
        <charset val="1"/>
      </rPr>
      <t xml:space="preserve">MLF/PPRF </t>
    </r>
    <r>
      <rPr>
        <b val="true"/>
        <sz val="10"/>
        <color rgb="FFC00000"/>
        <rFont val="Noto Sans CJK SC"/>
        <family val="2"/>
      </rPr>
      <t xml:space="preserve">依 </t>
    </r>
    <r>
      <rPr>
        <b val="true"/>
        <sz val="10"/>
        <color rgb="FFC00000"/>
        <rFont val="Arial"/>
        <family val="0"/>
        <charset val="1"/>
      </rPr>
      <t xml:space="preserve">§2.1 </t>
    </r>
    <r>
      <rPr>
        <b val="true"/>
        <sz val="10"/>
        <color rgb="FFC00000"/>
        <rFont val="Noto Sans CJK SC"/>
        <family val="2"/>
      </rPr>
      <t xml:space="preserve">判定。</t>
    </r>
  </si>
  <si>
    <t xml:space="preserve">MEDU</t>
  </si>
  <si>
    <t xml:space="preserve">Brainstem – Medulla (NTS / autonomic)</t>
  </si>
  <si>
    <t xml:space="preserve">延髓。NTS/自律核。</t>
  </si>
  <si>
    <t xml:space="preserve">FEF</t>
  </si>
  <si>
    <t xml:space="preserve">Cortex – Frontal (FEF / DLPFC)</t>
  </si>
  <si>
    <t xml:space="preserve">皮質同側（鐵律）。</t>
  </si>
  <si>
    <t xml:space="preserve">PAR</t>
  </si>
  <si>
    <t xml:space="preserve">Cortex – Parietal</t>
  </si>
  <si>
    <t xml:space="preserve">TEMP</t>
  </si>
  <si>
    <t xml:space="preserve">Cortex – Temporal (vestibular cortex)</t>
  </si>
  <si>
    <t xml:space="preserve">BG</t>
  </si>
  <si>
    <t xml:space="preserve">Basal Ganglia</t>
  </si>
  <si>
    <t xml:space="preserve">基底核。</t>
  </si>
  <si>
    <t xml:space="preserve">AUTO</t>
  </si>
  <si>
    <t xml:space="preserve">Autonomic (Symp / Parasymp)</t>
  </si>
  <si>
    <t xml:space="preserve">不側化</t>
  </si>
  <si>
    <t xml:space="preserve">自律神經整體反應，一般不做側化。</t>
  </si>
  <si>
    <t xml:space="preserve">CERV</t>
  </si>
  <si>
    <t xml:space="preserve">Cervical Proprioception</t>
  </si>
  <si>
    <t xml:space="preserve">頸椎本體感覺。⚠ 與 Layer 2 Cervical Surgery History 有互動。</t>
  </si>
  <si>
    <t xml:space="preserve">NONLOC</t>
  </si>
  <si>
    <t xml:space="preserve">NON-LOCALIZING (impact only)</t>
  </si>
  <si>
    <t xml:space="preserve">N/A</t>
  </si>
  <si>
    <t xml:space="preserve">🔴 不指向任何腦區。純 impact 指標。Claude 建議 DAILY_FUNCTION 8 題只填此欄。</t>
  </si>
  <si>
    <t xml:space="preserve">🔴 側化鐵律（7/25 §九，零容忍）：OD/OS 不推方向/側化；中腦與皮質同側、小腦對側；OPN 中線不側化。</t>
  </si>
  <si>
    <r>
      <rPr>
        <b val="true"/>
        <sz val="10"/>
        <color rgb="FFC00000"/>
        <rFont val="Arial"/>
        <family val="0"/>
        <charset val="1"/>
      </rPr>
      <t xml:space="preserve">🔴 WHITE_PAPER §3.2 </t>
    </r>
    <r>
      <rPr>
        <b val="true"/>
        <sz val="10"/>
        <color rgb="FFC00000"/>
        <rFont val="Noto Sans CJK SC"/>
        <family val="2"/>
      </rPr>
      <t xml:space="preserve">為唯一側化來源，且為雙候選結構。</t>
    </r>
    <r>
      <rPr>
        <b val="true"/>
        <sz val="10"/>
        <color rgb="FFC00000"/>
        <rFont val="Arial"/>
        <family val="0"/>
        <charset val="1"/>
      </rPr>
      <t xml:space="preserve">§3.1 </t>
    </r>
    <r>
      <rPr>
        <b val="true"/>
        <sz val="10"/>
        <color rgb="FFC00000"/>
        <rFont val="Noto Sans CJK SC"/>
        <family val="2"/>
      </rPr>
      <t xml:space="preserve">僅機制說明，禁止單獨用於側化。</t>
    </r>
  </si>
  <si>
    <t xml:space="preserve">⚠ 本表的側化規則摘自 WHITE_PAPER v2.0 文件，非 grep 實碼。實作前須對 server.js 做唯讀 recon。</t>
  </si>
  <si>
    <r>
      <rPr>
        <b val="true"/>
        <sz val="10"/>
        <rFont val="Arial"/>
        <family val="0"/>
        <charset val="1"/>
      </rPr>
      <t xml:space="preserve">⚠ WHITE_PAPER Open Items </t>
    </r>
    <r>
      <rPr>
        <b val="true"/>
        <sz val="10"/>
        <rFont val="Noto Sans CJK SC"/>
        <family val="2"/>
      </rPr>
      <t xml:space="preserve">記載：</t>
    </r>
    <r>
      <rPr>
        <b val="true"/>
        <sz val="10"/>
        <rFont val="Arial"/>
        <family val="0"/>
        <charset val="1"/>
      </rPr>
      <t xml:space="preserve">§3 </t>
    </r>
    <r>
      <rPr>
        <b val="true"/>
        <sz val="10"/>
        <rFont val="Noto Sans CJK SC"/>
        <family val="2"/>
      </rPr>
      <t xml:space="preserve">雙候選 </t>
    </r>
    <r>
      <rPr>
        <b val="true"/>
        <sz val="10"/>
        <rFont val="Arial"/>
        <family val="0"/>
        <charset val="1"/>
      </rPr>
      <t xml:space="preserve">/ mechanismModel enum </t>
    </r>
    <r>
      <rPr>
        <b val="true"/>
        <sz val="10"/>
        <rFont val="Noto Sans CJK SC"/>
        <family val="2"/>
      </rPr>
      <t xml:space="preserve">於 </t>
    </r>
    <r>
      <rPr>
        <b val="true"/>
        <sz val="10"/>
        <rFont val="Arial"/>
        <family val="0"/>
        <charset val="1"/>
      </rPr>
      <t xml:space="preserve">server.js </t>
    </r>
    <r>
      <rPr>
        <b val="true"/>
        <sz val="10"/>
        <rFont val="Noto Sans CJK SC"/>
        <family val="2"/>
      </rPr>
      <t xml:space="preserve">均未實作。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</si>
</sst>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  <numFmt numFmtId="170" formatCode="General"/>
    <numFmt numFmtId="171" formatCode="0.0%"/>
  </numFmts>
  <fonts count="2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name val="Noto Sans CJK SC"/>
      <family val="0"/>
      <charset val="1"/>
    </font>
    <font>
      <sz val="10"/>
      <name val="Noto Sans CJK SC"/>
      <family val="2"/>
    </font>
    <font>
      <b val="true"/>
      <sz val="10"/>
      <color rgb="FFC00000"/>
      <name val="Arial"/>
      <family val="0"/>
      <charset val="1"/>
    </font>
    <font>
      <b val="true"/>
      <sz val="12"/>
      <color rgb="FF1F3864"/>
      <name val="Noto Sans CJK SC"/>
      <family val="0"/>
      <charset val="1"/>
    </font>
    <font>
      <sz val="10"/>
      <name val="Noto Sans CJK SC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Noto Sans CJK SC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1F3864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0"/>
      <charset val="1"/>
    </font>
    <font>
      <sz val="9"/>
      <name val="Arial"/>
      <family val="0"/>
      <charset val="1"/>
    </font>
    <font>
      <b val="true"/>
      <sz val="11"/>
      <color rgb="FF1F3864"/>
      <name val="Noto Sans CJK SC"/>
      <family val="0"/>
      <charset val="1"/>
    </font>
    <font>
      <sz val="9"/>
      <name val="Noto Sans CJK SC"/>
      <family val="0"/>
      <charset val="1"/>
    </font>
    <font>
      <b val="true"/>
      <sz val="10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FFC7CE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DDEBF7"/>
      </patternFill>
    </fill>
    <fill>
      <patternFill patternType="solid">
        <fgColor rgb="FFFFF2CC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6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4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7" borderId="1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" fillId="4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4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" fillId="2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1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24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95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  <c r="C4" s="5" t="s">
        <v>3</v>
      </c>
    </row>
    <row r="6" customFormat="false" ht="15" hidden="false" customHeight="true" outlineLevel="0" collapsed="false">
      <c r="B6" s="6" t="s">
        <v>4</v>
      </c>
      <c r="C6" s="7" t="s">
        <v>5</v>
      </c>
    </row>
    <row r="7" customFormat="false" ht="15" hidden="false" customHeight="true" outlineLevel="0" collapsed="false">
      <c r="B7" s="6" t="s">
        <v>6</v>
      </c>
      <c r="C7" s="7" t="s">
        <v>7</v>
      </c>
    </row>
    <row r="9" customFormat="false" ht="15" hidden="false" customHeight="true" outlineLevel="0" collapsed="false">
      <c r="B9" s="8" t="s">
        <v>8</v>
      </c>
    </row>
    <row r="10" customFormat="false" ht="15" hidden="false" customHeight="true" outlineLevel="0" collapsed="false">
      <c r="B10" s="4"/>
      <c r="C10" s="5" t="s">
        <v>9</v>
      </c>
    </row>
    <row r="11" customFormat="false" ht="15" hidden="false" customHeight="true" outlineLevel="0" collapsed="false">
      <c r="B11" s="4"/>
      <c r="C11" s="9" t="s">
        <v>10</v>
      </c>
    </row>
    <row r="12" customFormat="false" ht="15" hidden="false" customHeight="true" outlineLevel="0" collapsed="false">
      <c r="B12" s="4"/>
      <c r="C12" s="5" t="s">
        <v>11</v>
      </c>
    </row>
    <row r="14" customFormat="false" ht="15" hidden="false" customHeight="true" outlineLevel="0" collapsed="false">
      <c r="B14" s="8" t="s">
        <v>12</v>
      </c>
    </row>
    <row r="15" customFormat="false" ht="15" hidden="false" customHeight="true" outlineLevel="0" collapsed="false">
      <c r="B15" s="10" t="s">
        <v>13</v>
      </c>
      <c r="C15" s="9" t="s">
        <v>14</v>
      </c>
    </row>
    <row r="16" customFormat="false" ht="15" hidden="false" customHeight="true" outlineLevel="0" collapsed="false">
      <c r="B16" s="10" t="s">
        <v>15</v>
      </c>
      <c r="C16" s="5" t="s">
        <v>16</v>
      </c>
    </row>
    <row r="17" customFormat="false" ht="15" hidden="false" customHeight="true" outlineLevel="0" collapsed="false">
      <c r="B17" s="10" t="s">
        <v>17</v>
      </c>
      <c r="C17" s="5" t="s">
        <v>18</v>
      </c>
    </row>
    <row r="18" customFormat="false" ht="15" hidden="false" customHeight="true" outlineLevel="0" collapsed="false">
      <c r="B18" s="10" t="s">
        <v>19</v>
      </c>
      <c r="C18" s="5" t="s">
        <v>20</v>
      </c>
    </row>
    <row r="20" customFormat="false" ht="18.75" hidden="false" customHeight="true" outlineLevel="0" collapsed="false">
      <c r="B20" s="8" t="s">
        <v>21</v>
      </c>
    </row>
    <row r="21" customFormat="false" ht="15" hidden="false" customHeight="true" outlineLevel="0" collapsed="false">
      <c r="B21" s="11" t="s">
        <v>22</v>
      </c>
      <c r="C21" s="9" t="s">
        <v>23</v>
      </c>
    </row>
    <row r="22" customFormat="false" ht="15" hidden="false" customHeight="true" outlineLevel="0" collapsed="false">
      <c r="B22" s="12" t="s">
        <v>24</v>
      </c>
      <c r="C22" s="9" t="s">
        <v>25</v>
      </c>
    </row>
    <row r="23" customFormat="false" ht="15" hidden="false" customHeight="true" outlineLevel="0" collapsed="false">
      <c r="B23" s="13" t="s">
        <v>26</v>
      </c>
      <c r="C23" s="9" t="s">
        <v>27</v>
      </c>
    </row>
    <row r="25" customFormat="false" ht="18.75" hidden="false" customHeight="true" outlineLevel="0" collapsed="false">
      <c r="B25" s="8" t="s">
        <v>28</v>
      </c>
    </row>
    <row r="26" customFormat="false" ht="15" hidden="false" customHeight="true" outlineLevel="0" collapsed="false">
      <c r="B26" s="4" t="s">
        <v>29</v>
      </c>
      <c r="C26" s="9" t="s">
        <v>30</v>
      </c>
    </row>
    <row r="27" customFormat="false" ht="15" hidden="false" customHeight="true" outlineLevel="0" collapsed="false">
      <c r="B27" s="10" t="s">
        <v>31</v>
      </c>
      <c r="C27" s="9" t="s">
        <v>32</v>
      </c>
    </row>
    <row r="28" customFormat="false" ht="15" hidden="false" customHeight="true" outlineLevel="0" collapsed="false">
      <c r="B28" s="10" t="s">
        <v>33</v>
      </c>
      <c r="C28" s="9" t="s">
        <v>34</v>
      </c>
    </row>
    <row r="29" customFormat="false" ht="15" hidden="false" customHeight="true" outlineLevel="0" collapsed="false">
      <c r="B29" s="10" t="s">
        <v>35</v>
      </c>
      <c r="C29" s="9" t="s">
        <v>36</v>
      </c>
    </row>
    <row r="30" customFormat="false" ht="15" hidden="false" customHeight="true" outlineLevel="0" collapsed="false">
      <c r="B30" s="4"/>
      <c r="C30" s="5" t="s">
        <v>37</v>
      </c>
    </row>
    <row r="31" customFormat="false" ht="15" hidden="false" customHeight="true" outlineLevel="0" collapsed="false">
      <c r="B31" s="4"/>
      <c r="C31" s="9" t="s">
        <v>38</v>
      </c>
    </row>
    <row r="32" customFormat="false" ht="15" hidden="false" customHeight="true" outlineLevel="0" collapsed="false">
      <c r="B32" s="4"/>
      <c r="C32" s="9" t="s">
        <v>39</v>
      </c>
    </row>
    <row r="33" customFormat="false" ht="15" hidden="false" customHeight="true" outlineLevel="0" collapsed="false">
      <c r="B33" s="4"/>
      <c r="C33" s="9" t="s">
        <v>40</v>
      </c>
    </row>
    <row r="34" customFormat="false" ht="15" hidden="false" customHeight="true" outlineLevel="0" collapsed="false">
      <c r="B34" s="4"/>
      <c r="C34" s="9" t="s">
        <v>41</v>
      </c>
    </row>
    <row r="36" customFormat="false" ht="18.75" hidden="false" customHeight="true" outlineLevel="0" collapsed="false">
      <c r="B36" s="8" t="s">
        <v>42</v>
      </c>
    </row>
    <row r="37" customFormat="false" ht="15" hidden="false" customHeight="true" outlineLevel="0" collapsed="false">
      <c r="C37" s="7" t="s">
        <v>43</v>
      </c>
    </row>
    <row r="38" customFormat="false" ht="15" hidden="false" customHeight="true" outlineLevel="0" collapsed="false">
      <c r="C38" s="14" t="s">
        <v>44</v>
      </c>
    </row>
    <row r="39" customFormat="false" ht="15" hidden="false" customHeight="true" outlineLevel="0" collapsed="false">
      <c r="C39" s="7" t="s">
        <v>45</v>
      </c>
    </row>
    <row r="40" customFormat="false" ht="15" hidden="false" customHeight="true" outlineLevel="0" collapsed="false">
      <c r="B40" s="4"/>
      <c r="C40" s="5" t="s">
        <v>46</v>
      </c>
    </row>
    <row r="41" customFormat="false" ht="15" hidden="false" customHeight="true" outlineLevel="0" collapsed="false">
      <c r="B41" s="4"/>
      <c r="C41" s="5" t="s">
        <v>47</v>
      </c>
    </row>
    <row r="42" customFormat="false" ht="15" hidden="false" customHeight="true" outlineLevel="0" collapsed="false">
      <c r="B42" s="4"/>
      <c r="C42" s="9" t="s">
        <v>48</v>
      </c>
    </row>
    <row r="44" customFormat="false" ht="18.75" hidden="false" customHeight="true" outlineLevel="0" collapsed="false">
      <c r="B44" s="15" t="s">
        <v>49</v>
      </c>
    </row>
    <row r="45" customFormat="false" ht="15" hidden="false" customHeight="true" outlineLevel="0" collapsed="false">
      <c r="B45" s="4"/>
      <c r="C45" s="5" t="s">
        <v>50</v>
      </c>
    </row>
    <row r="46" customFormat="false" ht="15" hidden="false" customHeight="true" outlineLevel="0" collapsed="false">
      <c r="B46" s="4"/>
      <c r="C46" s="9" t="s">
        <v>51</v>
      </c>
    </row>
    <row r="47" customFormat="false" ht="15" hidden="false" customHeight="true" outlineLevel="0" collapsed="false">
      <c r="B47" s="4"/>
      <c r="C47" s="9" t="s">
        <v>52</v>
      </c>
    </row>
    <row r="49" customFormat="false" ht="18.75" hidden="false" customHeight="true" outlineLevel="0" collapsed="false">
      <c r="B49" s="8" t="s">
        <v>53</v>
      </c>
    </row>
    <row r="50" customFormat="false" ht="15" hidden="false" customHeight="true" outlineLevel="0" collapsed="false">
      <c r="B50" s="4"/>
      <c r="C50" s="9" t="s">
        <v>54</v>
      </c>
    </row>
    <row r="51" customFormat="false" ht="15" hidden="false" customHeight="true" outlineLevel="0" collapsed="false">
      <c r="B51" s="4"/>
      <c r="C51" s="9" t="s">
        <v>55</v>
      </c>
    </row>
    <row r="52" customFormat="false" ht="15" hidden="false" customHeight="true" outlineLevel="0" collapsed="false">
      <c r="B52" s="4"/>
      <c r="C52" s="5" t="s">
        <v>56</v>
      </c>
    </row>
    <row r="53" customFormat="false" ht="15" hidden="false" customHeight="true" outlineLevel="0" collapsed="false">
      <c r="B53" s="4"/>
      <c r="C53" s="9" t="s">
        <v>57</v>
      </c>
    </row>
    <row r="55" customFormat="false" ht="18.75" hidden="false" customHeight="true" outlineLevel="0" collapsed="false">
      <c r="B55" s="8" t="s">
        <v>58</v>
      </c>
    </row>
    <row r="56" customFormat="false" ht="15" hidden="false" customHeight="true" outlineLevel="0" collapsed="false">
      <c r="B56" s="4"/>
      <c r="C56" s="5" t="s">
        <v>59</v>
      </c>
    </row>
    <row r="57" customFormat="false" ht="15" hidden="false" customHeight="true" outlineLevel="0" collapsed="false">
      <c r="B57" s="4"/>
      <c r="C57" s="5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21"/>
    <col collapsed="false" customWidth="true" hidden="false" outlineLevel="0" max="3" min="3" style="1" width="40"/>
    <col collapsed="false" customWidth="true" hidden="false" outlineLevel="0" max="4" min="4" style="1" width="32"/>
    <col collapsed="false" customWidth="true" hidden="false" outlineLevel="0" max="20" min="5" style="1" width="11"/>
    <col collapsed="false" customWidth="true" hidden="false" outlineLevel="0" max="22" min="21" style="1" width="10"/>
    <col collapsed="false" customWidth="true" hidden="false" outlineLevel="0" max="23" min="23" style="1" width="20"/>
    <col collapsed="false" customWidth="true" hidden="false" outlineLevel="0" max="24" min="24" style="1" width="12"/>
    <col collapsed="false" customWidth="true" hidden="false" outlineLevel="0" max="25" min="25" style="1" width="11"/>
    <col collapsed="false" customWidth="true" hidden="false" outlineLevel="0" max="27" min="26" style="1" width="24"/>
    <col collapsed="false" customWidth="true" hidden="false" outlineLevel="0" max="28" min="28" style="1" width="38"/>
  </cols>
  <sheetData>
    <row r="1" customFormat="false" ht="61.5" hidden="false" customHeight="true" outlineLevel="0" collapsed="false">
      <c r="A1" s="16" t="s">
        <v>61</v>
      </c>
      <c r="B1" s="16" t="s">
        <v>62</v>
      </c>
      <c r="C1" s="17" t="s">
        <v>63</v>
      </c>
      <c r="D1" s="16" t="s">
        <v>64</v>
      </c>
      <c r="E1" s="16" t="s">
        <v>65</v>
      </c>
      <c r="F1" s="16" t="s">
        <v>66</v>
      </c>
      <c r="G1" s="16" t="s">
        <v>67</v>
      </c>
      <c r="H1" s="16" t="s">
        <v>68</v>
      </c>
      <c r="I1" s="16" t="s">
        <v>69</v>
      </c>
      <c r="J1" s="16" t="s">
        <v>70</v>
      </c>
      <c r="K1" s="16" t="s">
        <v>71</v>
      </c>
      <c r="L1" s="16" t="s">
        <v>72</v>
      </c>
      <c r="M1" s="16" t="s">
        <v>73</v>
      </c>
      <c r="N1" s="16" t="s">
        <v>74</v>
      </c>
      <c r="O1" s="16" t="s">
        <v>75</v>
      </c>
      <c r="P1" s="16" t="s">
        <v>76</v>
      </c>
      <c r="Q1" s="16" t="s">
        <v>77</v>
      </c>
      <c r="R1" s="16" t="s">
        <v>78</v>
      </c>
      <c r="S1" s="16" t="s">
        <v>79</v>
      </c>
      <c r="T1" s="16" t="s">
        <v>80</v>
      </c>
      <c r="U1" s="16" t="s">
        <v>81</v>
      </c>
      <c r="V1" s="16" t="s">
        <v>82</v>
      </c>
      <c r="W1" s="16" t="s">
        <v>83</v>
      </c>
      <c r="X1" s="16" t="s">
        <v>84</v>
      </c>
      <c r="Y1" s="16" t="s">
        <v>85</v>
      </c>
      <c r="Z1" s="16" t="s">
        <v>86</v>
      </c>
      <c r="AA1" s="16" t="s">
        <v>87</v>
      </c>
      <c r="AB1" s="16" t="s">
        <v>88</v>
      </c>
      <c r="AC1" s="16" t="s">
        <v>89</v>
      </c>
    </row>
    <row r="2" customFormat="false" ht="30" hidden="false" customHeight="true" outlineLevel="0" collapsed="false">
      <c r="A2" s="18" t="s">
        <v>90</v>
      </c>
      <c r="B2" s="18" t="s">
        <v>91</v>
      </c>
      <c r="C2" s="19" t="s">
        <v>92</v>
      </c>
      <c r="D2" s="18" t="s">
        <v>93</v>
      </c>
      <c r="E2" s="20" t="s">
        <v>35</v>
      </c>
      <c r="F2" s="20" t="s">
        <v>33</v>
      </c>
      <c r="G2" s="20" t="s">
        <v>31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1" t="n">
        <f aca="false">COUNTA(E2:T2)</f>
        <v>3</v>
      </c>
      <c r="V2" s="21" t="n">
        <f aca="false">COUNTIF(E2:T2,"PRIMARY")</f>
        <v>1</v>
      </c>
      <c r="W2" s="21" t="str">
        <f aca="false">IF(COUNTA(E2:T2)=0,"NOT_FILLED",IF(COUNTIF(E2:T2,"PRIMARY")=0,"⚠ 無 PRIMARY",IF(COUNTIF(E2:T2,"PRIMARY")&gt;1,"雙候選 "&amp;COUNTIF(E2:T2,"PRIMARY")&amp;" 個",INDEX($E$1:$T$1,1,MATCH("PRIMARY",E2:T2,0)))))</f>
        <v>PVES
Peripheral Vestibular
(Labyrinth / CN VIII)</v>
      </c>
      <c r="X2" s="22" t="s">
        <v>94</v>
      </c>
      <c r="Y2" s="22" t="s">
        <v>95</v>
      </c>
      <c r="Z2" s="22"/>
      <c r="AA2" s="22"/>
      <c r="AB2" s="23" t="s">
        <v>96</v>
      </c>
      <c r="AC2" s="23" t="str">
        <f aca="false">IF(Y2="Y",IF(OR(Z2="",AA2=""),"🔴 REVIEW 缺理由/處置","ITEM_REVIEW_REQUIRED"),IF(AND($B2="OCULOMOTOR",X2&lt;&gt;"NOT_APPLICABLE",X2&lt;&gt;""),"🔴 OCM 不得側化",IF(AND($B2="DAILY_FUNCTION",COUNTA(E2:S2)&gt;0),"🔴 DFN 不得 localize",IF(COUNTA(E2:T2)=0,"⬜ 未填",IF(COUNTIF(E2:T2,"PRIMARY")&gt;2,"🔴 3+ PRIMARY 須標 REVIEW",IF(COUNTIF(E2:T2,"PRIMARY")=0,"⚠ 無 PRIMARY","OK"))))))</f>
        <v>OK</v>
      </c>
    </row>
    <row r="3" customFormat="false" ht="30" hidden="false" customHeight="true" outlineLevel="0" collapsed="false">
      <c r="A3" s="24" t="s">
        <v>97</v>
      </c>
      <c r="B3" s="25" t="s">
        <v>91</v>
      </c>
      <c r="C3" s="26" t="s">
        <v>98</v>
      </c>
      <c r="D3" s="24" t="s">
        <v>99</v>
      </c>
      <c r="E3" s="27" t="s">
        <v>35</v>
      </c>
      <c r="F3" s="27" t="s">
        <v>33</v>
      </c>
      <c r="G3" s="27" t="s">
        <v>31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 t="s">
        <v>31</v>
      </c>
      <c r="T3" s="27"/>
      <c r="U3" s="21" t="n">
        <f aca="false">COUNTA(E3:T3)</f>
        <v>4</v>
      </c>
      <c r="V3" s="21" t="n">
        <f aca="false">COUNTIF(E3:T3,"PRIMARY")</f>
        <v>1</v>
      </c>
      <c r="W3" s="21" t="str">
        <f aca="false">IF(COUNTA(E3:T3)=0,"NOT_FILLED",IF(COUNTIF(E3:T3,"PRIMARY")=0,"⚠ 無 PRIMARY",IF(COUNTIF(E3:T3,"PRIMARY")&gt;1,"雙候選 "&amp;COUNTIF(E3:T3,"PRIMARY")&amp;" 個",INDEX($E$1:$T$1,1,MATCH("PRIMARY",E3:T3,0)))))</f>
        <v>PVES
Peripheral Vestibular
(Labyrinth / CN VIII)</v>
      </c>
      <c r="X3" s="28" t="s">
        <v>94</v>
      </c>
      <c r="Y3" s="28" t="s">
        <v>95</v>
      </c>
      <c r="Z3" s="28"/>
      <c r="AA3" s="28"/>
      <c r="AB3" s="28"/>
      <c r="AC3" s="28" t="str">
        <f aca="false">IF(Y3="Y",IF(OR(Z3="",AA3=""),"🔴 REVIEW 缺理由/處置","ITEM_REVIEW_REQUIRED"),IF(AND($B3="OCULOMOTOR",X3&lt;&gt;"NOT_APPLICABLE",X3&lt;&gt;""),"🔴 OCM 不得側化",IF(AND($B3="DAILY_FUNCTION",COUNTA(E3:S3)&gt;0),"🔴 DFN 不得 localize",IF(COUNTA(E3:T3)=0,"⬜ 未填",IF(COUNTIF(E3:T3,"PRIMARY")&gt;2,"🔴 3+ PRIMARY 須標 REVIEW",IF(COUNTIF(E3:T3,"PRIMARY")=0,"⚠ 無 PRIMARY","OK"))))))</f>
        <v>OK</v>
      </c>
    </row>
    <row r="4" customFormat="false" ht="30" hidden="false" customHeight="true" outlineLevel="0" collapsed="false">
      <c r="A4" s="24" t="s">
        <v>100</v>
      </c>
      <c r="B4" s="25" t="s">
        <v>91</v>
      </c>
      <c r="C4" s="26" t="s">
        <v>101</v>
      </c>
      <c r="D4" s="24" t="s">
        <v>102</v>
      </c>
      <c r="E4" s="27" t="s">
        <v>35</v>
      </c>
      <c r="F4" s="27" t="s">
        <v>33</v>
      </c>
      <c r="G4" s="27" t="s">
        <v>31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1" t="n">
        <f aca="false">COUNTA(E4:T4)</f>
        <v>3</v>
      </c>
      <c r="V4" s="21" t="n">
        <f aca="false">COUNTIF(E4:T4,"PRIMARY")</f>
        <v>1</v>
      </c>
      <c r="W4" s="21" t="str">
        <f aca="false">IF(COUNTA(E4:T4)=0,"NOT_FILLED",IF(COUNTIF(E4:T4,"PRIMARY")=0,"⚠ 無 PRIMARY",IF(COUNTIF(E4:T4,"PRIMARY")&gt;1,"雙候選 "&amp;COUNTIF(E4:T4,"PRIMARY")&amp;" 個",INDEX($E$1:$T$1,1,MATCH("PRIMARY",E4:T4,0)))))</f>
        <v>PVES
Peripheral Vestibular
(Labyrinth / CN VIII)</v>
      </c>
      <c r="X4" s="28" t="s">
        <v>94</v>
      </c>
      <c r="Y4" s="28" t="s">
        <v>95</v>
      </c>
      <c r="Z4" s="28"/>
      <c r="AA4" s="28"/>
      <c r="AB4" s="29" t="s">
        <v>103</v>
      </c>
      <c r="AC4" s="28" t="str">
        <f aca="false">IF(Y4="Y",IF(OR(Z4="",AA4=""),"🔴 REVIEW 缺理由/處置","ITEM_REVIEW_REQUIRED"),IF(AND($B4="OCULOMOTOR",X4&lt;&gt;"NOT_APPLICABLE",X4&lt;&gt;""),"🔴 OCM 不得側化",IF(AND($B4="DAILY_FUNCTION",COUNTA(E4:S4)&gt;0),"🔴 DFN 不得 localize",IF(COUNTA(E4:T4)=0,"⬜ 未填",IF(COUNTIF(E4:T4,"PRIMARY")&gt;2,"🔴 3+ PRIMARY 須標 REVIEW",IF(COUNTIF(E4:T4,"PRIMARY")=0,"⚠ 無 PRIMARY","OK"))))))</f>
        <v>OK</v>
      </c>
    </row>
    <row r="5" customFormat="false" ht="30" hidden="false" customHeight="true" outlineLevel="0" collapsed="false">
      <c r="A5" s="24" t="s">
        <v>104</v>
      </c>
      <c r="B5" s="25" t="s">
        <v>91</v>
      </c>
      <c r="C5" s="26" t="s">
        <v>105</v>
      </c>
      <c r="D5" s="24" t="s">
        <v>106</v>
      </c>
      <c r="E5" s="27"/>
      <c r="F5" s="27" t="s">
        <v>35</v>
      </c>
      <c r="G5" s="27" t="s">
        <v>35</v>
      </c>
      <c r="H5" s="27"/>
      <c r="I5" s="27"/>
      <c r="J5" s="27"/>
      <c r="K5" s="27"/>
      <c r="L5" s="27"/>
      <c r="M5" s="27"/>
      <c r="N5" s="27"/>
      <c r="O5" s="27"/>
      <c r="P5" s="27" t="s">
        <v>33</v>
      </c>
      <c r="Q5" s="27"/>
      <c r="R5" s="27"/>
      <c r="S5" s="27" t="s">
        <v>31</v>
      </c>
      <c r="T5" s="27"/>
      <c r="U5" s="21" t="n">
        <f aca="false">COUNTA(E5:T5)</f>
        <v>4</v>
      </c>
      <c r="V5" s="21" t="n">
        <f aca="false">COUNTIF(E5:T5,"PRIMARY")</f>
        <v>2</v>
      </c>
      <c r="W5" s="21" t="str">
        <f aca="false">IF(COUNTA(E5:T5)=0,"NOT_FILLED",IF(COUNTIF(E5:T5,"PRIMARY")=0,"⚠ 無 PRIMARY",IF(COUNTIF(E5:T5,"PRIMARY")&gt;1,"雙候選 "&amp;COUNTIF(E5:T5,"PRIMARY")&amp;" 個",INDEX($E$1:$T$1,1,MATCH("PRIMARY",E5:T5,0)))))</f>
        <v>雙候選 2 個</v>
      </c>
      <c r="X5" s="28" t="s">
        <v>94</v>
      </c>
      <c r="Y5" s="28" t="s">
        <v>95</v>
      </c>
      <c r="Z5" s="28"/>
      <c r="AA5" s="28"/>
      <c r="AB5" s="28"/>
      <c r="AC5" s="28" t="str">
        <f aca="false">IF(Y5="Y",IF(OR(Z5="",AA5=""),"🔴 REVIEW 缺理由/處置","ITEM_REVIEW_REQUIRED"),IF(AND($B5="OCULOMOTOR",X5&lt;&gt;"NOT_APPLICABLE",X5&lt;&gt;""),"🔴 OCM 不得側化",IF(AND($B5="DAILY_FUNCTION",COUNTA(E5:S5)&gt;0),"🔴 DFN 不得 localize",IF(COUNTA(E5:T5)=0,"⬜ 未填",IF(COUNTIF(E5:T5,"PRIMARY")&gt;2,"🔴 3+ PRIMARY 須標 REVIEW",IF(COUNTIF(E5:T5,"PRIMARY")=0,"⚠ 無 PRIMARY","OK"))))))</f>
        <v>OK</v>
      </c>
    </row>
    <row r="6" customFormat="false" ht="30" hidden="false" customHeight="true" outlineLevel="0" collapsed="false">
      <c r="A6" s="24" t="s">
        <v>107</v>
      </c>
      <c r="B6" s="25" t="s">
        <v>91</v>
      </c>
      <c r="C6" s="26" t="s">
        <v>108</v>
      </c>
      <c r="D6" s="24" t="s">
        <v>109</v>
      </c>
      <c r="E6" s="27"/>
      <c r="F6" s="27" t="s">
        <v>31</v>
      </c>
      <c r="G6" s="27" t="s">
        <v>33</v>
      </c>
      <c r="H6" s="27"/>
      <c r="I6" s="27"/>
      <c r="J6" s="27"/>
      <c r="K6" s="27"/>
      <c r="L6" s="27"/>
      <c r="M6" s="27"/>
      <c r="N6" s="27"/>
      <c r="O6" s="27" t="s">
        <v>33</v>
      </c>
      <c r="P6" s="27" t="s">
        <v>35</v>
      </c>
      <c r="Q6" s="27"/>
      <c r="R6" s="27"/>
      <c r="S6" s="27"/>
      <c r="T6" s="27"/>
      <c r="U6" s="21" t="n">
        <f aca="false">COUNTA(E6:T6)</f>
        <v>4</v>
      </c>
      <c r="V6" s="21" t="n">
        <f aca="false">COUNTIF(E6:T6,"PRIMARY")</f>
        <v>1</v>
      </c>
      <c r="W6" s="21" t="str">
        <f aca="false">IF(COUNTA(E6:T6)=0,"NOT_FILLED",IF(COUNTIF(E6:T6,"PRIMARY")=0,"⚠ 無 PRIMARY",IF(COUNTIF(E6:T6,"PRIMARY")&gt;1,"雙候選 "&amp;COUNTIF(E6:T6,"PRIMARY")&amp;" 個",INDEX($E$1:$T$1,1,MATCH("PRIMARY",E6:T6,0)))))</f>
        <v>TEMP
Cortex – Temporal
(vestibular cortex)</v>
      </c>
      <c r="X6" s="28" t="s">
        <v>94</v>
      </c>
      <c r="Y6" s="28" t="s">
        <v>95</v>
      </c>
      <c r="Z6" s="28"/>
      <c r="AA6" s="28"/>
      <c r="AB6" s="28"/>
      <c r="AC6" s="28" t="str">
        <f aca="false">IF(Y6="Y",IF(OR(Z6="",AA6=""),"🔴 REVIEW 缺理由/處置","ITEM_REVIEW_REQUIRED"),IF(AND($B6="OCULOMOTOR",X6&lt;&gt;"NOT_APPLICABLE",X6&lt;&gt;""),"🔴 OCM 不得側化",IF(AND($B6="DAILY_FUNCTION",COUNTA(E6:S6)&gt;0),"🔴 DFN 不得 localize",IF(COUNTA(E6:T6)=0,"⬜ 未填",IF(COUNTIF(E6:T6,"PRIMARY")&gt;2,"🔴 3+ PRIMARY 須標 REVIEW",IF(COUNTIF(E6:T6,"PRIMARY")=0,"⚠ 無 PRIMARY","OK"))))))</f>
        <v>OK</v>
      </c>
    </row>
    <row r="7" customFormat="false" ht="30" hidden="false" customHeight="true" outlineLevel="0" collapsed="false">
      <c r="A7" s="24" t="s">
        <v>110</v>
      </c>
      <c r="B7" s="25" t="s">
        <v>91</v>
      </c>
      <c r="C7" s="26" t="s">
        <v>111</v>
      </c>
      <c r="D7" s="24" t="s">
        <v>112</v>
      </c>
      <c r="E7" s="27" t="s">
        <v>35</v>
      </c>
      <c r="F7" s="27" t="s">
        <v>35</v>
      </c>
      <c r="G7" s="27" t="s">
        <v>33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1" t="n">
        <f aca="false">COUNTA(E7:T7)</f>
        <v>3</v>
      </c>
      <c r="V7" s="21" t="n">
        <f aca="false">COUNTIF(E7:T7,"PRIMARY")</f>
        <v>2</v>
      </c>
      <c r="W7" s="21" t="str">
        <f aca="false">IF(COUNTA(E7:T7)=0,"NOT_FILLED",IF(COUNTIF(E7:T7,"PRIMARY")=0,"⚠ 無 PRIMARY",IF(COUNTIF(E7:T7,"PRIMARY")&gt;1,"雙候選 "&amp;COUNTIF(E7:T7,"PRIMARY")&amp;" 個",INDEX($E$1:$T$1,1,MATCH("PRIMARY",E7:T7,0)))))</f>
        <v>雙候選 2 個</v>
      </c>
      <c r="X7" s="28" t="s">
        <v>94</v>
      </c>
      <c r="Y7" s="28" t="s">
        <v>95</v>
      </c>
      <c r="Z7" s="28"/>
      <c r="AA7" s="28"/>
      <c r="AB7" s="28"/>
      <c r="AC7" s="28" t="str">
        <f aca="false">IF(Y7="Y",IF(OR(Z7="",AA7=""),"🔴 REVIEW 缺理由/處置","ITEM_REVIEW_REQUIRED"),IF(AND($B7="OCULOMOTOR",X7&lt;&gt;"NOT_APPLICABLE",X7&lt;&gt;""),"🔴 OCM 不得側化",IF(AND($B7="DAILY_FUNCTION",COUNTA(E7:S7)&gt;0),"🔴 DFN 不得 localize",IF(COUNTA(E7:T7)=0,"⬜ 未填",IF(COUNTIF(E7:T7,"PRIMARY")&gt;2,"🔴 3+ PRIMARY 須標 REVIEW",IF(COUNTIF(E7:T7,"PRIMARY")=0,"⚠ 無 PRIMARY","OK"))))))</f>
        <v>OK</v>
      </c>
    </row>
    <row r="8" customFormat="false" ht="30" hidden="false" customHeight="true" outlineLevel="0" collapsed="false">
      <c r="A8" s="24" t="s">
        <v>113</v>
      </c>
      <c r="B8" s="25" t="s">
        <v>91</v>
      </c>
      <c r="C8" s="26" t="s">
        <v>114</v>
      </c>
      <c r="D8" s="24" t="s">
        <v>115</v>
      </c>
      <c r="E8" s="27"/>
      <c r="F8" s="27" t="s">
        <v>33</v>
      </c>
      <c r="G8" s="27" t="s">
        <v>33</v>
      </c>
      <c r="H8" s="27"/>
      <c r="I8" s="27"/>
      <c r="J8" s="27"/>
      <c r="K8" s="27"/>
      <c r="L8" s="27"/>
      <c r="M8" s="27"/>
      <c r="N8" s="27"/>
      <c r="O8" s="27"/>
      <c r="P8" s="27" t="s">
        <v>35</v>
      </c>
      <c r="Q8" s="27"/>
      <c r="R8" s="27" t="s">
        <v>31</v>
      </c>
      <c r="S8" s="27"/>
      <c r="T8" s="27"/>
      <c r="U8" s="21" t="n">
        <f aca="false">COUNTA(E8:T8)</f>
        <v>4</v>
      </c>
      <c r="V8" s="21" t="n">
        <f aca="false">COUNTIF(E8:T8,"PRIMARY")</f>
        <v>1</v>
      </c>
      <c r="W8" s="21" t="str">
        <f aca="false">IF(COUNTA(E8:T8)=0,"NOT_FILLED",IF(COUNTIF(E8:T8,"PRIMARY")=0,"⚠ 無 PRIMARY",IF(COUNTIF(E8:T8,"PRIMARY")&gt;1,"雙候選 "&amp;COUNTIF(E8:T8,"PRIMARY")&amp;" 個",INDEX($E$1:$T$1,1,MATCH("PRIMARY",E8:T8,0)))))</f>
        <v>TEMP
Cortex – Temporal
(vestibular cortex)</v>
      </c>
      <c r="X8" s="28" t="s">
        <v>94</v>
      </c>
      <c r="Y8" s="28" t="s">
        <v>95</v>
      </c>
      <c r="Z8" s="28"/>
      <c r="AA8" s="28"/>
      <c r="AB8" s="28"/>
      <c r="AC8" s="28" t="str">
        <f aca="false">IF(Y8="Y",IF(OR(Z8="",AA8=""),"🔴 REVIEW 缺理由/處置","ITEM_REVIEW_REQUIRED"),IF(AND($B8="OCULOMOTOR",X8&lt;&gt;"NOT_APPLICABLE",X8&lt;&gt;""),"🔴 OCM 不得側化",IF(AND($B8="DAILY_FUNCTION",COUNTA(E8:S8)&gt;0),"🔴 DFN 不得 localize",IF(COUNTA(E8:T8)=0,"⬜ 未填",IF(COUNTIF(E8:T8,"PRIMARY")&gt;2,"🔴 3+ PRIMARY 須標 REVIEW",IF(COUNTIF(E8:T8,"PRIMARY")=0,"⚠ 無 PRIMARY","OK"))))))</f>
        <v>OK</v>
      </c>
    </row>
    <row r="9" customFormat="false" ht="30" hidden="false" customHeight="true" outlineLevel="0" collapsed="false">
      <c r="A9" s="24" t="s">
        <v>116</v>
      </c>
      <c r="B9" s="25" t="s">
        <v>91</v>
      </c>
      <c r="C9" s="26" t="s">
        <v>117</v>
      </c>
      <c r="D9" s="24" t="s">
        <v>118</v>
      </c>
      <c r="E9" s="27" t="s">
        <v>35</v>
      </c>
      <c r="F9" s="27" t="s">
        <v>31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1" t="n">
        <f aca="false">COUNTA(E9:T9)</f>
        <v>2</v>
      </c>
      <c r="V9" s="21" t="n">
        <f aca="false">COUNTIF(E9:T9,"PRIMARY")</f>
        <v>1</v>
      </c>
      <c r="W9" s="21" t="str">
        <f aca="false">IF(COUNTA(E9:T9)=0,"NOT_FILLED",IF(COUNTIF(E9:T9,"PRIMARY")=0,"⚠ 無 PRIMARY",IF(COUNTIF(E9:T9,"PRIMARY")&gt;1,"雙候選 "&amp;COUNTIF(E9:T9,"PRIMARY")&amp;" 個",INDEX($E$1:$T$1,1,MATCH("PRIMARY",E9:T9,0)))))</f>
        <v>PVES
Peripheral Vestibular
(Labyrinth / CN VIII)</v>
      </c>
      <c r="X9" s="28" t="s">
        <v>94</v>
      </c>
      <c r="Y9" s="28" t="s">
        <v>95</v>
      </c>
      <c r="Z9" s="28"/>
      <c r="AA9" s="28"/>
      <c r="AB9" s="29" t="s">
        <v>119</v>
      </c>
      <c r="AC9" s="28" t="str">
        <f aca="false">IF(Y9="Y",IF(OR(Z9="",AA9=""),"🔴 REVIEW 缺理由/處置","ITEM_REVIEW_REQUIRED"),IF(AND($B9="OCULOMOTOR",X9&lt;&gt;"NOT_APPLICABLE",X9&lt;&gt;""),"🔴 OCM 不得側化",IF(AND($B9="DAILY_FUNCTION",COUNTA(E9:S9)&gt;0),"🔴 DFN 不得 localize",IF(COUNTA(E9:T9)=0,"⬜ 未填",IF(COUNTIF(E9:T9,"PRIMARY")&gt;2,"🔴 3+ PRIMARY 須標 REVIEW",IF(COUNTIF(E9:T9,"PRIMARY")=0,"⚠ 無 PRIMARY","OK"))))))</f>
        <v>OK</v>
      </c>
    </row>
    <row r="10" customFormat="false" ht="30" hidden="false" customHeight="true" outlineLevel="0" collapsed="false">
      <c r="A10" s="24" t="s">
        <v>120</v>
      </c>
      <c r="B10" s="25" t="s">
        <v>91</v>
      </c>
      <c r="C10" s="26" t="s">
        <v>121</v>
      </c>
      <c r="D10" s="24" t="s">
        <v>122</v>
      </c>
      <c r="E10" s="27" t="s">
        <v>35</v>
      </c>
      <c r="F10" s="27" t="s">
        <v>33</v>
      </c>
      <c r="G10" s="27"/>
      <c r="H10" s="27"/>
      <c r="I10" s="27"/>
      <c r="J10" s="27"/>
      <c r="K10" s="27"/>
      <c r="L10" s="27"/>
      <c r="M10" s="27"/>
      <c r="N10" s="27"/>
      <c r="O10" s="27"/>
      <c r="P10" s="27" t="s">
        <v>31</v>
      </c>
      <c r="Q10" s="27"/>
      <c r="R10" s="27"/>
      <c r="S10" s="27"/>
      <c r="T10" s="27"/>
      <c r="U10" s="21" t="n">
        <f aca="false">COUNTA(E10:T10)</f>
        <v>3</v>
      </c>
      <c r="V10" s="21" t="n">
        <f aca="false">COUNTIF(E10:T10,"PRIMARY")</f>
        <v>1</v>
      </c>
      <c r="W10" s="21" t="str">
        <f aca="false">IF(COUNTA(E10:T10)=0,"NOT_FILLED",IF(COUNTIF(E10:T10,"PRIMARY")=0,"⚠ 無 PRIMARY",IF(COUNTIF(E10:T10,"PRIMARY")&gt;1,"雙候選 "&amp;COUNTIF(E10:T10,"PRIMARY")&amp;" 個",INDEX($E$1:$T$1,1,MATCH("PRIMARY",E10:T10,0)))))</f>
        <v>PVES
Peripheral Vestibular
(Labyrinth / CN VIII)</v>
      </c>
      <c r="X10" s="28" t="s">
        <v>94</v>
      </c>
      <c r="Y10" s="28" t="s">
        <v>95</v>
      </c>
      <c r="Z10" s="28"/>
      <c r="AA10" s="28"/>
      <c r="AB10" s="28"/>
      <c r="AC10" s="28" t="str">
        <f aca="false">IF(Y10="Y",IF(OR(Z10="",AA10=""),"🔴 REVIEW 缺理由/處置","ITEM_REVIEW_REQUIRED"),IF(AND($B10="OCULOMOTOR",X10&lt;&gt;"NOT_APPLICABLE",X10&lt;&gt;""),"🔴 OCM 不得側化",IF(AND($B10="DAILY_FUNCTION",COUNTA(E10:S10)&gt;0),"🔴 DFN 不得 localize",IF(COUNTA(E10:T10)=0,"⬜ 未填",IF(COUNTIF(E10:T10,"PRIMARY")&gt;2,"🔴 3+ PRIMARY 須標 REVIEW",IF(COUNTIF(E10:T10,"PRIMARY")=0,"⚠ 無 PRIMARY","OK"))))))</f>
        <v>OK</v>
      </c>
    </row>
    <row r="11" customFormat="false" ht="30" hidden="false" customHeight="true" outlineLevel="0" collapsed="false">
      <c r="A11" s="24" t="s">
        <v>123</v>
      </c>
      <c r="B11" s="25" t="s">
        <v>124</v>
      </c>
      <c r="C11" s="26" t="s">
        <v>125</v>
      </c>
      <c r="D11" s="24" t="s">
        <v>126</v>
      </c>
      <c r="E11" s="27"/>
      <c r="F11" s="27"/>
      <c r="G11" s="27"/>
      <c r="H11" s="27"/>
      <c r="I11" s="27"/>
      <c r="J11" s="27"/>
      <c r="K11" s="27"/>
      <c r="L11" s="27" t="s">
        <v>31</v>
      </c>
      <c r="M11" s="27"/>
      <c r="N11" s="27" t="s">
        <v>33</v>
      </c>
      <c r="O11" s="27" t="s">
        <v>35</v>
      </c>
      <c r="P11" s="27"/>
      <c r="Q11" s="27"/>
      <c r="R11" s="27"/>
      <c r="S11" s="27"/>
      <c r="T11" s="27"/>
      <c r="U11" s="21" t="n">
        <f aca="false">COUNTA(E11:T11)</f>
        <v>3</v>
      </c>
      <c r="V11" s="21" t="n">
        <f aca="false">COUNTIF(E11:T11,"PRIMARY")</f>
        <v>1</v>
      </c>
      <c r="W11" s="21" t="str">
        <f aca="false">IF(COUNTA(E11:T11)=0,"NOT_FILLED",IF(COUNTIF(E11:T11,"PRIMARY")=0,"⚠ 無 PRIMARY",IF(COUNTIF(E11:T11,"PRIMARY")&gt;1,"雙候選 "&amp;COUNTIF(E11:T11,"PRIMARY")&amp;" 個",INDEX($E$1:$T$1,1,MATCH("PRIMARY",E11:T11,0)))))</f>
        <v>PAR
Cortex – Parietal</v>
      </c>
      <c r="X11" s="28" t="s">
        <v>94</v>
      </c>
      <c r="Y11" s="28" t="s">
        <v>95</v>
      </c>
      <c r="Z11" s="28"/>
      <c r="AA11" s="28"/>
      <c r="AB11" s="28" t="s">
        <v>127</v>
      </c>
      <c r="AC11" s="28" t="str">
        <f aca="false">IF(Y11="Y",IF(OR(Z11="",AA11=""),"🔴 REVIEW 缺理由/處置","ITEM_REVIEW_REQUIRED"),IF(AND($B11="OCULOMOTOR",X11&lt;&gt;"NOT_APPLICABLE",X11&lt;&gt;""),"🔴 OCM 不得側化",IF(AND($B11="DAILY_FUNCTION",COUNTA(E11:S11)&gt;0),"🔴 DFN 不得 localize",IF(COUNTA(E11:T11)=0,"⬜ 未填",IF(COUNTIF(E11:T11,"PRIMARY")&gt;2,"🔴 3+ PRIMARY 須標 REVIEW",IF(COUNTIF(E11:T11,"PRIMARY")=0,"⚠ 無 PRIMARY","OK"))))))</f>
        <v>OK</v>
      </c>
    </row>
    <row r="12" customFormat="false" ht="30" hidden="false" customHeight="true" outlineLevel="0" collapsed="false">
      <c r="A12" s="24" t="s">
        <v>128</v>
      </c>
      <c r="B12" s="25" t="s">
        <v>124</v>
      </c>
      <c r="C12" s="26" t="s">
        <v>129</v>
      </c>
      <c r="D12" s="24" t="s">
        <v>130</v>
      </c>
      <c r="E12" s="27"/>
      <c r="F12" s="27"/>
      <c r="G12" s="27"/>
      <c r="H12" s="27"/>
      <c r="I12" s="27"/>
      <c r="J12" s="27"/>
      <c r="K12" s="27" t="s">
        <v>35</v>
      </c>
      <c r="L12" s="27" t="s">
        <v>33</v>
      </c>
      <c r="M12" s="27"/>
      <c r="N12" s="27" t="s">
        <v>31</v>
      </c>
      <c r="O12" s="27"/>
      <c r="P12" s="27"/>
      <c r="Q12" s="27"/>
      <c r="R12" s="27"/>
      <c r="S12" s="27"/>
      <c r="T12" s="27"/>
      <c r="U12" s="21" t="n">
        <f aca="false">COUNTA(E12:T12)</f>
        <v>3</v>
      </c>
      <c r="V12" s="21" t="n">
        <f aca="false">COUNTIF(E12:T12,"PRIMARY")</f>
        <v>1</v>
      </c>
      <c r="W12" s="21" t="str">
        <f aca="false">IF(COUNTA(E12:T12)=0,"NOT_FILLED",IF(COUNTIF(E12:T12,"PRIMARY")=0,"⚠ 無 PRIMARY",IF(COUNTIF(E12:T12,"PRIMARY")&gt;1,"雙候選 "&amp;COUNTIF(E12:T12,"PRIMARY")&amp;" 個",INDEX($E$1:$T$1,1,MATCH("PRIMARY",E12:T12,0)))))</f>
        <v>MIDB
Brainstem – Midbrain
(INC / riMLF)</v>
      </c>
      <c r="X12" s="28" t="s">
        <v>94</v>
      </c>
      <c r="Y12" s="28" t="s">
        <v>95</v>
      </c>
      <c r="Z12" s="28"/>
      <c r="AA12" s="28"/>
      <c r="AB12" s="28" t="s">
        <v>127</v>
      </c>
      <c r="AC12" s="28" t="str">
        <f aca="false">IF(Y12="Y",IF(OR(Z12="",AA12=""),"🔴 REVIEW 缺理由/處置","ITEM_REVIEW_REQUIRED"),IF(AND($B12="OCULOMOTOR",X12&lt;&gt;"NOT_APPLICABLE",X12&lt;&gt;""),"🔴 OCM 不得側化",IF(AND($B12="DAILY_FUNCTION",COUNTA(E12:S12)&gt;0),"🔴 DFN 不得 localize",IF(COUNTA(E12:T12)=0,"⬜ 未填",IF(COUNTIF(E12:T12,"PRIMARY")&gt;2,"🔴 3+ PRIMARY 須標 REVIEW",IF(COUNTIF(E12:T12,"PRIMARY")=0,"⚠ 無 PRIMARY","OK"))))))</f>
        <v>OK</v>
      </c>
    </row>
    <row r="13" customFormat="false" ht="30" hidden="false" customHeight="true" outlineLevel="0" collapsed="false">
      <c r="A13" s="24" t="s">
        <v>131</v>
      </c>
      <c r="B13" s="25" t="s">
        <v>124</v>
      </c>
      <c r="C13" s="26" t="s">
        <v>132</v>
      </c>
      <c r="D13" s="24" t="s">
        <v>133</v>
      </c>
      <c r="E13" s="27"/>
      <c r="F13" s="27"/>
      <c r="G13" s="27"/>
      <c r="H13" s="27"/>
      <c r="I13" s="27"/>
      <c r="J13" s="27"/>
      <c r="K13" s="27" t="s">
        <v>35</v>
      </c>
      <c r="L13" s="27" t="s">
        <v>31</v>
      </c>
      <c r="M13" s="27"/>
      <c r="N13" s="27" t="s">
        <v>33</v>
      </c>
      <c r="O13" s="27"/>
      <c r="P13" s="27"/>
      <c r="Q13" s="27"/>
      <c r="R13" s="27"/>
      <c r="S13" s="27"/>
      <c r="T13" s="27"/>
      <c r="U13" s="21" t="n">
        <f aca="false">COUNTA(E13:T13)</f>
        <v>3</v>
      </c>
      <c r="V13" s="21" t="n">
        <f aca="false">COUNTIF(E13:T13,"PRIMARY")</f>
        <v>1</v>
      </c>
      <c r="W13" s="21" t="str">
        <f aca="false">IF(COUNTA(E13:T13)=0,"NOT_FILLED",IF(COUNTIF(E13:T13,"PRIMARY")=0,"⚠ 無 PRIMARY",IF(COUNTIF(E13:T13,"PRIMARY")&gt;1,"雙候選 "&amp;COUNTIF(E13:T13,"PRIMARY")&amp;" 個",INDEX($E$1:$T$1,1,MATCH("PRIMARY",E13:T13,0)))))</f>
        <v>MIDB
Brainstem – Midbrain
(INC / riMLF)</v>
      </c>
      <c r="X13" s="28" t="s">
        <v>94</v>
      </c>
      <c r="Y13" s="28" t="s">
        <v>95</v>
      </c>
      <c r="Z13" s="28"/>
      <c r="AA13" s="28"/>
      <c r="AB13" s="28" t="s">
        <v>127</v>
      </c>
      <c r="AC13" s="28" t="str">
        <f aca="false">IF(Y13="Y",IF(OR(Z13="",AA13=""),"🔴 REVIEW 缺理由/處置","ITEM_REVIEW_REQUIRED"),IF(AND($B13="OCULOMOTOR",X13&lt;&gt;"NOT_APPLICABLE",X13&lt;&gt;""),"🔴 OCM 不得側化",IF(AND($B13="DAILY_FUNCTION",COUNTA(E13:S13)&gt;0),"🔴 DFN 不得 localize",IF(COUNTA(E13:T13)=0,"⬜ 未填",IF(COUNTIF(E13:T13,"PRIMARY")&gt;2,"🔴 3+ PRIMARY 須標 REVIEW",IF(COUNTIF(E13:T13,"PRIMARY")=0,"⚠ 無 PRIMARY","OK"))))))</f>
        <v>OK</v>
      </c>
    </row>
    <row r="14" customFormat="false" ht="30" hidden="false" customHeight="true" outlineLevel="0" collapsed="false">
      <c r="A14" s="24" t="s">
        <v>134</v>
      </c>
      <c r="B14" s="25" t="s">
        <v>124</v>
      </c>
      <c r="C14" s="26" t="s">
        <v>135</v>
      </c>
      <c r="D14" s="24" t="s">
        <v>136</v>
      </c>
      <c r="E14" s="27"/>
      <c r="F14" s="27"/>
      <c r="G14" s="27"/>
      <c r="H14" s="27"/>
      <c r="I14" s="27"/>
      <c r="J14" s="27"/>
      <c r="K14" s="27"/>
      <c r="L14" s="27"/>
      <c r="M14" s="27"/>
      <c r="N14" s="27" t="s">
        <v>31</v>
      </c>
      <c r="O14" s="27"/>
      <c r="P14" s="27"/>
      <c r="Q14" s="27"/>
      <c r="R14" s="27"/>
      <c r="S14" s="27"/>
      <c r="T14" s="27" t="s">
        <v>35</v>
      </c>
      <c r="U14" s="21" t="n">
        <f aca="false">COUNTA(E14:T14)</f>
        <v>2</v>
      </c>
      <c r="V14" s="21" t="n">
        <f aca="false">COUNTIF(E14:T14,"PRIMARY")</f>
        <v>1</v>
      </c>
      <c r="W14" s="21" t="str">
        <f aca="false">IF(COUNTA(E14:T14)=0,"NOT_FILLED",IF(COUNTIF(E14:T14,"PRIMARY")=0,"⚠ 無 PRIMARY",IF(COUNTIF(E14:T14,"PRIMARY")&gt;1,"雙候選 "&amp;COUNTIF(E14:T14,"PRIMARY")&amp;" 個",INDEX($E$1:$T$1,1,MATCH("PRIMARY",E14:T14,0)))))</f>
        <v>NONLOC
NON-LOCALIZING
(impact only)</v>
      </c>
      <c r="X14" s="28" t="s">
        <v>94</v>
      </c>
      <c r="Y14" s="28" t="s">
        <v>137</v>
      </c>
      <c r="Z14" s="28" t="s">
        <v>138</v>
      </c>
      <c r="AA14" s="28" t="s">
        <v>139</v>
      </c>
      <c r="AB14" s="28" t="s">
        <v>140</v>
      </c>
      <c r="AC14" s="28" t="str">
        <f aca="false">IF(Y14="Y",IF(OR(Z14="",AA14=""),"🔴 REVIEW 缺理由/處置","ITEM_REVIEW_REQUIRED"),IF(AND($B14="OCULOMOTOR",X14&lt;&gt;"NOT_APPLICABLE",X14&lt;&gt;""),"🔴 OCM 不得側化",IF(AND($B14="DAILY_FUNCTION",COUNTA(E14:S14)&gt;0),"🔴 DFN 不得 localize",IF(COUNTA(E14:T14)=0,"⬜ 未填",IF(COUNTIF(E14:T14,"PRIMARY")&gt;2,"🔴 3+ PRIMARY 須標 REVIEW",IF(COUNTIF(E14:T14,"PRIMARY")=0,"⚠ 無 PRIMARY","OK"))))))</f>
        <v>ITEM_REVIEW_REQUIRED</v>
      </c>
    </row>
    <row r="15" customFormat="false" ht="30" hidden="false" customHeight="true" outlineLevel="0" collapsed="false">
      <c r="A15" s="24" t="s">
        <v>141</v>
      </c>
      <c r="B15" s="25" t="s">
        <v>124</v>
      </c>
      <c r="C15" s="26" t="s">
        <v>142</v>
      </c>
      <c r="D15" s="24" t="s">
        <v>143</v>
      </c>
      <c r="E15" s="27"/>
      <c r="F15" s="27"/>
      <c r="G15" s="27" t="s">
        <v>31</v>
      </c>
      <c r="H15" s="27"/>
      <c r="I15" s="27"/>
      <c r="J15" s="27"/>
      <c r="K15" s="27"/>
      <c r="L15" s="27" t="s">
        <v>33</v>
      </c>
      <c r="M15" s="27"/>
      <c r="N15" s="27" t="s">
        <v>33</v>
      </c>
      <c r="O15" s="27" t="s">
        <v>35</v>
      </c>
      <c r="P15" s="27"/>
      <c r="Q15" s="27"/>
      <c r="R15" s="27"/>
      <c r="S15" s="27"/>
      <c r="T15" s="27"/>
      <c r="U15" s="21" t="n">
        <f aca="false">COUNTA(E15:T15)</f>
        <v>4</v>
      </c>
      <c r="V15" s="21" t="n">
        <f aca="false">COUNTIF(E15:T15,"PRIMARY")</f>
        <v>1</v>
      </c>
      <c r="W15" s="21" t="str">
        <f aca="false">IF(COUNTA(E15:T15)=0,"NOT_FILLED",IF(COUNTIF(E15:T15,"PRIMARY")=0,"⚠ 無 PRIMARY",IF(COUNTIF(E15:T15,"PRIMARY")&gt;1,"雙候選 "&amp;COUNTIF(E15:T15,"PRIMARY")&amp;" 個",INDEX($E$1:$T$1,1,MATCH("PRIMARY",E15:T15,0)))))</f>
        <v>PAR
Cortex – Parietal</v>
      </c>
      <c r="X15" s="28" t="s">
        <v>94</v>
      </c>
      <c r="Y15" s="28" t="s">
        <v>95</v>
      </c>
      <c r="Z15" s="28"/>
      <c r="AA15" s="28"/>
      <c r="AB15" s="28" t="s">
        <v>127</v>
      </c>
      <c r="AC15" s="28" t="str">
        <f aca="false">IF(Y15="Y",IF(OR(Z15="",AA15=""),"🔴 REVIEW 缺理由/處置","ITEM_REVIEW_REQUIRED"),IF(AND($B15="OCULOMOTOR",X15&lt;&gt;"NOT_APPLICABLE",X15&lt;&gt;""),"🔴 OCM 不得側化",IF(AND($B15="DAILY_FUNCTION",COUNTA(E15:S15)&gt;0),"🔴 DFN 不得 localize",IF(COUNTA(E15:T15)=0,"⬜ 未填",IF(COUNTIF(E15:T15,"PRIMARY")&gt;2,"🔴 3+ PRIMARY 須標 REVIEW",IF(COUNTIF(E15:T15,"PRIMARY")=0,"⚠ 無 PRIMARY","OK"))))))</f>
        <v>OK</v>
      </c>
    </row>
    <row r="16" customFormat="false" ht="30" hidden="false" customHeight="true" outlineLevel="0" collapsed="false">
      <c r="A16" s="24" t="s">
        <v>144</v>
      </c>
      <c r="B16" s="25" t="s">
        <v>124</v>
      </c>
      <c r="C16" s="26" t="s">
        <v>145</v>
      </c>
      <c r="D16" s="24" t="s">
        <v>146</v>
      </c>
      <c r="E16" s="27"/>
      <c r="F16" s="27" t="s">
        <v>31</v>
      </c>
      <c r="G16" s="27" t="s">
        <v>33</v>
      </c>
      <c r="H16" s="27"/>
      <c r="I16" s="27"/>
      <c r="J16" s="27"/>
      <c r="K16" s="27"/>
      <c r="L16" s="27"/>
      <c r="M16" s="27"/>
      <c r="N16" s="27"/>
      <c r="O16" s="27" t="s">
        <v>35</v>
      </c>
      <c r="P16" s="27" t="s">
        <v>35</v>
      </c>
      <c r="Q16" s="27"/>
      <c r="R16" s="27"/>
      <c r="S16" s="27"/>
      <c r="T16" s="27"/>
      <c r="U16" s="21" t="n">
        <f aca="false">COUNTA(E16:T16)</f>
        <v>4</v>
      </c>
      <c r="V16" s="21" t="n">
        <f aca="false">COUNTIF(E16:T16,"PRIMARY")</f>
        <v>2</v>
      </c>
      <c r="W16" s="21" t="str">
        <f aca="false">IF(COUNTA(E16:T16)=0,"NOT_FILLED",IF(COUNTIF(E16:T16,"PRIMARY")=0,"⚠ 無 PRIMARY",IF(COUNTIF(E16:T16,"PRIMARY")&gt;1,"雙候選 "&amp;COUNTIF(E16:T16,"PRIMARY")&amp;" 個",INDEX($E$1:$T$1,1,MATCH("PRIMARY",E16:T16,0)))))</f>
        <v>雙候選 2 個</v>
      </c>
      <c r="X16" s="28" t="s">
        <v>94</v>
      </c>
      <c r="Y16" s="28" t="s">
        <v>95</v>
      </c>
      <c r="Z16" s="28"/>
      <c r="AA16" s="28"/>
      <c r="AB16" s="28" t="s">
        <v>127</v>
      </c>
      <c r="AC16" s="28" t="str">
        <f aca="false">IF(Y16="Y",IF(OR(Z16="",AA16=""),"🔴 REVIEW 缺理由/處置","ITEM_REVIEW_REQUIRED"),IF(AND($B16="OCULOMOTOR",X16&lt;&gt;"NOT_APPLICABLE",X16&lt;&gt;""),"🔴 OCM 不得側化",IF(AND($B16="DAILY_FUNCTION",COUNTA(E16:S16)&gt;0),"🔴 DFN 不得 localize",IF(COUNTA(E16:T16)=0,"⬜ 未填",IF(COUNTIF(E16:T16,"PRIMARY")&gt;2,"🔴 3+ PRIMARY 須標 REVIEW",IF(COUNTIF(E16:T16,"PRIMARY")=0,"⚠ 無 PRIMARY","OK"))))))</f>
        <v>OK</v>
      </c>
    </row>
    <row r="17" customFormat="false" ht="30" hidden="false" customHeight="true" outlineLevel="0" collapsed="false">
      <c r="A17" s="24" t="s">
        <v>147</v>
      </c>
      <c r="B17" s="25" t="s">
        <v>124</v>
      </c>
      <c r="C17" s="26" t="s">
        <v>148</v>
      </c>
      <c r="D17" s="24" t="s">
        <v>149</v>
      </c>
      <c r="E17" s="27"/>
      <c r="F17" s="27"/>
      <c r="G17" s="27"/>
      <c r="H17" s="27"/>
      <c r="I17" s="27"/>
      <c r="J17" s="27"/>
      <c r="K17" s="27" t="s">
        <v>31</v>
      </c>
      <c r="L17" s="27" t="s">
        <v>35</v>
      </c>
      <c r="M17" s="27"/>
      <c r="N17" s="27" t="s">
        <v>33</v>
      </c>
      <c r="O17" s="27"/>
      <c r="P17" s="27"/>
      <c r="Q17" s="27"/>
      <c r="R17" s="27"/>
      <c r="S17" s="27"/>
      <c r="T17" s="27"/>
      <c r="U17" s="21" t="n">
        <f aca="false">COUNTA(E17:T17)</f>
        <v>3</v>
      </c>
      <c r="V17" s="21" t="n">
        <f aca="false">COUNTIF(E17:T17,"PRIMARY")</f>
        <v>1</v>
      </c>
      <c r="W17" s="21" t="str">
        <f aca="false">IF(COUNTA(E17:T17)=0,"NOT_FILLED",IF(COUNTIF(E17:T17,"PRIMARY")=0,"⚠ 無 PRIMARY",IF(COUNTIF(E17:T17,"PRIMARY")&gt;1,"雙候選 "&amp;COUNTIF(E17:T17,"PRIMARY")&amp;" 個",INDEX($E$1:$T$1,1,MATCH("PRIMARY",E17:T17,0)))))</f>
        <v>PONS
Brainstem – Pons
(PPRF / MLF / OPN)</v>
      </c>
      <c r="X17" s="28" t="s">
        <v>94</v>
      </c>
      <c r="Y17" s="28" t="s">
        <v>95</v>
      </c>
      <c r="Z17" s="28"/>
      <c r="AA17" s="28"/>
      <c r="AB17" s="28" t="s">
        <v>127</v>
      </c>
      <c r="AC17" s="28" t="str">
        <f aca="false">IF(Y17="Y",IF(OR(Z17="",AA17=""),"🔴 REVIEW 缺理由/處置","ITEM_REVIEW_REQUIRED"),IF(AND($B17="OCULOMOTOR",X17&lt;&gt;"NOT_APPLICABLE",X17&lt;&gt;""),"🔴 OCM 不得側化",IF(AND($B17="DAILY_FUNCTION",COUNTA(E17:S17)&gt;0),"🔴 DFN 不得 localize",IF(COUNTA(E17:T17)=0,"⬜ 未填",IF(COUNTIF(E17:T17,"PRIMARY")&gt;2,"🔴 3+ PRIMARY 須標 REVIEW",IF(COUNTIF(E17:T17,"PRIMARY")=0,"⚠ 無 PRIMARY","OK"))))))</f>
        <v>OK</v>
      </c>
    </row>
    <row r="18" customFormat="false" ht="30" hidden="false" customHeight="true" outlineLevel="0" collapsed="false">
      <c r="A18" s="24" t="s">
        <v>150</v>
      </c>
      <c r="B18" s="25" t="s">
        <v>124</v>
      </c>
      <c r="C18" s="26" t="s">
        <v>151</v>
      </c>
      <c r="D18" s="24" t="s">
        <v>152</v>
      </c>
      <c r="E18" s="27"/>
      <c r="F18" s="27"/>
      <c r="G18" s="27"/>
      <c r="H18" s="27"/>
      <c r="I18" s="27"/>
      <c r="J18" s="27"/>
      <c r="K18" s="27" t="s">
        <v>31</v>
      </c>
      <c r="L18" s="27"/>
      <c r="M18" s="27"/>
      <c r="N18" s="27"/>
      <c r="O18" s="27"/>
      <c r="P18" s="27" t="s">
        <v>31</v>
      </c>
      <c r="Q18" s="27"/>
      <c r="R18" s="27"/>
      <c r="S18" s="27"/>
      <c r="T18" s="27" t="s">
        <v>35</v>
      </c>
      <c r="U18" s="21" t="n">
        <f aca="false">COUNTA(E18:T18)</f>
        <v>3</v>
      </c>
      <c r="V18" s="21" t="n">
        <f aca="false">COUNTIF(E18:T18,"PRIMARY")</f>
        <v>1</v>
      </c>
      <c r="W18" s="21" t="str">
        <f aca="false">IF(COUNTA(E18:T18)=0,"NOT_FILLED",IF(COUNTIF(E18:T18,"PRIMARY")=0,"⚠ 無 PRIMARY",IF(COUNTIF(E18:T18,"PRIMARY")&gt;1,"雙候選 "&amp;COUNTIF(E18:T18,"PRIMARY")&amp;" 個",INDEX($E$1:$T$1,1,MATCH("PRIMARY",E18:T18,0)))))</f>
        <v>NONLOC
NON-LOCALIZING
(impact only)</v>
      </c>
      <c r="X18" s="28" t="s">
        <v>94</v>
      </c>
      <c r="Y18" s="28" t="s">
        <v>137</v>
      </c>
      <c r="Z18" s="28" t="s">
        <v>153</v>
      </c>
      <c r="AA18" s="28" t="s">
        <v>139</v>
      </c>
      <c r="AB18" s="29" t="s">
        <v>154</v>
      </c>
      <c r="AC18" s="28" t="str">
        <f aca="false">IF(Y18="Y",IF(OR(Z18="",AA18=""),"🔴 REVIEW 缺理由/處置","ITEM_REVIEW_REQUIRED"),IF(AND($B18="OCULOMOTOR",X18&lt;&gt;"NOT_APPLICABLE",X18&lt;&gt;""),"🔴 OCM 不得側化",IF(AND($B18="DAILY_FUNCTION",COUNTA(E18:S18)&gt;0),"🔴 DFN 不得 localize",IF(COUNTA(E18:T18)=0,"⬜ 未填",IF(COUNTIF(E18:T18,"PRIMARY")&gt;2,"🔴 3+ PRIMARY 須標 REVIEW",IF(COUNTIF(E18:T18,"PRIMARY")=0,"⚠ 無 PRIMARY","OK"))))))</f>
        <v>ITEM_REVIEW_REQUIRED</v>
      </c>
    </row>
    <row r="19" customFormat="false" ht="30" hidden="false" customHeight="true" outlineLevel="0" collapsed="false">
      <c r="A19" s="24" t="s">
        <v>155</v>
      </c>
      <c r="B19" s="25" t="s">
        <v>156</v>
      </c>
      <c r="C19" s="26" t="s">
        <v>157</v>
      </c>
      <c r="D19" s="24" t="s">
        <v>158</v>
      </c>
      <c r="E19" s="27"/>
      <c r="F19" s="27"/>
      <c r="G19" s="27"/>
      <c r="H19" s="27" t="s">
        <v>35</v>
      </c>
      <c r="I19" s="27" t="s">
        <v>35</v>
      </c>
      <c r="J19" s="27" t="s">
        <v>31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1" t="n">
        <f aca="false">COUNTA(E19:T19)</f>
        <v>3</v>
      </c>
      <c r="V19" s="21" t="n">
        <f aca="false">COUNTIF(E19:T19,"PRIMARY")</f>
        <v>2</v>
      </c>
      <c r="W19" s="21" t="str">
        <f aca="false">IF(COUNTA(E19:T19)=0,"NOT_FILLED",IF(COUNTIF(E19:T19,"PRIMARY")=0,"⚠ 無 PRIMARY",IF(COUNTIF(E19:T19,"PRIMARY")&gt;1,"雙候選 "&amp;COUNTIF(E19:T19,"PRIMARY")&amp;" 個",INDEX($E$1:$T$1,1,MATCH("PRIMARY",E19:T19,0)))))</f>
        <v>雙候選 2 個</v>
      </c>
      <c r="X19" s="28" t="s">
        <v>94</v>
      </c>
      <c r="Y19" s="28" t="s">
        <v>95</v>
      </c>
      <c r="Z19" s="28"/>
      <c r="AA19" s="28"/>
      <c r="AB19" s="28" t="s">
        <v>159</v>
      </c>
      <c r="AC19" s="28" t="str">
        <f aca="false">IF(Y19="Y",IF(OR(Z19="",AA19=""),"🔴 REVIEW 缺理由/處置","ITEM_REVIEW_REQUIRED"),IF(AND($B19="OCULOMOTOR",X19&lt;&gt;"NOT_APPLICABLE",X19&lt;&gt;""),"🔴 OCM 不得側化",IF(AND($B19="DAILY_FUNCTION",COUNTA(E19:S19)&gt;0),"🔴 DFN 不得 localize",IF(COUNTA(E19:T19)=0,"⬜ 未填",IF(COUNTIF(E19:T19,"PRIMARY")&gt;2,"🔴 3+ PRIMARY 須標 REVIEW",IF(COUNTIF(E19:T19,"PRIMARY")=0,"⚠ 無 PRIMARY","OK"))))))</f>
        <v>OK</v>
      </c>
    </row>
    <row r="20" customFormat="false" ht="30" hidden="false" customHeight="true" outlineLevel="0" collapsed="false">
      <c r="A20" s="24" t="s">
        <v>160</v>
      </c>
      <c r="B20" s="25" t="s">
        <v>156</v>
      </c>
      <c r="C20" s="26" t="s">
        <v>161</v>
      </c>
      <c r="D20" s="24" t="s">
        <v>162</v>
      </c>
      <c r="E20" s="27"/>
      <c r="F20" s="27"/>
      <c r="G20" s="27"/>
      <c r="H20" s="27"/>
      <c r="I20" s="27"/>
      <c r="J20" s="27" t="s">
        <v>35</v>
      </c>
      <c r="K20" s="27"/>
      <c r="L20" s="27"/>
      <c r="M20" s="27"/>
      <c r="N20" s="27"/>
      <c r="O20" s="27"/>
      <c r="P20" s="27"/>
      <c r="Q20" s="27" t="s">
        <v>33</v>
      </c>
      <c r="R20" s="27"/>
      <c r="S20" s="27" t="s">
        <v>31</v>
      </c>
      <c r="T20" s="27"/>
      <c r="U20" s="21" t="n">
        <f aca="false">COUNTA(E20:T20)</f>
        <v>3</v>
      </c>
      <c r="V20" s="21" t="n">
        <f aca="false">COUNTIF(E20:T20,"PRIMARY")</f>
        <v>1</v>
      </c>
      <c r="W20" s="21" t="str">
        <f aca="false">IF(COUNTA(E20:T20)=0,"NOT_FILLED",IF(COUNTIF(E20:T20,"PRIMARY")=0,"⚠ 無 PRIMARY",IF(COUNTIF(E20:T20,"PRIMARY")&gt;1,"雙候選 "&amp;COUNTIF(E20:T20,"PRIMARY")&amp;" 個",INDEX($E$1:$T$1,1,MATCH("PRIMARY",E20:T20,0)))))</f>
        <v>CBH
Cerebellar Hemisphere
/ Dentate</v>
      </c>
      <c r="X20" s="28" t="s">
        <v>94</v>
      </c>
      <c r="Y20" s="28" t="s">
        <v>95</v>
      </c>
      <c r="Z20" s="28"/>
      <c r="AA20" s="28"/>
      <c r="AB20" s="28"/>
      <c r="AC20" s="28" t="str">
        <f aca="false">IF(Y20="Y",IF(OR(Z20="",AA20=""),"🔴 REVIEW 缺理由/處置","ITEM_REVIEW_REQUIRED"),IF(AND($B20="OCULOMOTOR",X20&lt;&gt;"NOT_APPLICABLE",X20&lt;&gt;""),"🔴 OCM 不得側化",IF(AND($B20="DAILY_FUNCTION",COUNTA(E20:S20)&gt;0),"🔴 DFN 不得 localize",IF(COUNTA(E20:T20)=0,"⬜ 未填",IF(COUNTIF(E20:T20,"PRIMARY")&gt;2,"🔴 3+ PRIMARY 須標 REVIEW",IF(COUNTIF(E20:T20,"PRIMARY")=0,"⚠ 無 PRIMARY","OK"))))))</f>
        <v>OK</v>
      </c>
    </row>
    <row r="21" customFormat="false" ht="30" hidden="false" customHeight="true" outlineLevel="0" collapsed="false">
      <c r="A21" s="24" t="s">
        <v>163</v>
      </c>
      <c r="B21" s="25" t="s">
        <v>156</v>
      </c>
      <c r="C21" s="26" t="s">
        <v>164</v>
      </c>
      <c r="D21" s="24" t="s">
        <v>165</v>
      </c>
      <c r="E21" s="27"/>
      <c r="F21" s="27"/>
      <c r="G21" s="27" t="s">
        <v>35</v>
      </c>
      <c r="H21" s="27"/>
      <c r="I21" s="27" t="s">
        <v>35</v>
      </c>
      <c r="J21" s="27" t="s">
        <v>31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1" t="n">
        <f aca="false">COUNTA(E21:T21)</f>
        <v>3</v>
      </c>
      <c r="V21" s="21" t="n">
        <f aca="false">COUNTIF(E21:T21,"PRIMARY")</f>
        <v>2</v>
      </c>
      <c r="W21" s="21" t="str">
        <f aca="false">IF(COUNTA(E21:T21)=0,"NOT_FILLED",IF(COUNTIF(E21:T21,"PRIMARY")=0,"⚠ 無 PRIMARY",IF(COUNTIF(E21:T21,"PRIMARY")&gt;1,"雙候選 "&amp;COUNTIF(E21:T21,"PRIMARY")&amp;" 個",INDEX($E$1:$T$1,1,MATCH("PRIMARY",E21:T21,0)))))</f>
        <v>雙候選 2 個</v>
      </c>
      <c r="X21" s="28" t="s">
        <v>166</v>
      </c>
      <c r="Y21" s="28" t="s">
        <v>95</v>
      </c>
      <c r="Z21" s="28"/>
      <c r="AA21" s="28"/>
      <c r="AB21" s="29" t="s">
        <v>167</v>
      </c>
      <c r="AC21" s="28" t="str">
        <f aca="false">IF(Y21="Y",IF(OR(Z21="",AA21=""),"🔴 REVIEW 缺理由/處置","ITEM_REVIEW_REQUIRED"),IF(AND($B21="OCULOMOTOR",X21&lt;&gt;"NOT_APPLICABLE",X21&lt;&gt;""),"🔴 OCM 不得側化",IF(AND($B21="DAILY_FUNCTION",COUNTA(E21:S21)&gt;0),"🔴 DFN 不得 localize",IF(COUNTA(E21:T21)=0,"⬜ 未填",IF(COUNTIF(E21:T21,"PRIMARY")&gt;2,"🔴 3+ PRIMARY 須標 REVIEW",IF(COUNTIF(E21:T21,"PRIMARY")=0,"⚠ 無 PRIMARY","OK"))))))</f>
        <v>OK</v>
      </c>
    </row>
    <row r="22" customFormat="false" ht="30" hidden="false" customHeight="true" outlineLevel="0" collapsed="false">
      <c r="A22" s="24" t="s">
        <v>168</v>
      </c>
      <c r="B22" s="25" t="s">
        <v>156</v>
      </c>
      <c r="C22" s="26" t="s">
        <v>169</v>
      </c>
      <c r="D22" s="24" t="s">
        <v>170</v>
      </c>
      <c r="E22" s="27"/>
      <c r="F22" s="27"/>
      <c r="G22" s="27" t="s">
        <v>35</v>
      </c>
      <c r="H22" s="27"/>
      <c r="I22" s="27" t="s">
        <v>31</v>
      </c>
      <c r="J22" s="27" t="s">
        <v>33</v>
      </c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1" t="n">
        <f aca="false">COUNTA(E22:T22)</f>
        <v>3</v>
      </c>
      <c r="V22" s="21" t="n">
        <f aca="false">COUNTIF(E22:T22,"PRIMARY")</f>
        <v>1</v>
      </c>
      <c r="W22" s="21" t="str">
        <f aca="false">IF(COUNTA(E22:T22)=0,"NOT_FILLED",IF(COUNTIF(E22:T22,"PRIMARY")=0,"⚠ 無 PRIMARY",IF(COUNTIF(E22:T22,"PRIMARY")&gt;1,"雙候選 "&amp;COUNTIF(E22:T22,"PRIMARY")&amp;" 個",INDEX($E$1:$T$1,1,MATCH("PRIMARY",E22:T22,0)))))</f>
        <v>VCBL
Vestibulocerebellum
(Flocculus / Nodulus)</v>
      </c>
      <c r="X22" s="28" t="s">
        <v>94</v>
      </c>
      <c r="Y22" s="28" t="s">
        <v>95</v>
      </c>
      <c r="Z22" s="28"/>
      <c r="AA22" s="28"/>
      <c r="AB22" s="28"/>
      <c r="AC22" s="28" t="str">
        <f aca="false">IF(Y22="Y",IF(OR(Z22="",AA22=""),"🔴 REVIEW 缺理由/處置","ITEM_REVIEW_REQUIRED"),IF(AND($B22="OCULOMOTOR",X22&lt;&gt;"NOT_APPLICABLE",X22&lt;&gt;""),"🔴 OCM 不得側化",IF(AND($B22="DAILY_FUNCTION",COUNTA(E22:S22)&gt;0),"🔴 DFN 不得 localize",IF(COUNTA(E22:T22)=0,"⬜ 未填",IF(COUNTIF(E22:T22,"PRIMARY")&gt;2,"🔴 3+ PRIMARY 須標 REVIEW",IF(COUNTIF(E22:T22,"PRIMARY")=0,"⚠ 無 PRIMARY","OK"))))))</f>
        <v>OK</v>
      </c>
    </row>
    <row r="23" customFormat="false" ht="30" hidden="false" customHeight="true" outlineLevel="0" collapsed="false">
      <c r="A23" s="24" t="s">
        <v>171</v>
      </c>
      <c r="B23" s="25" t="s">
        <v>156</v>
      </c>
      <c r="C23" s="26" t="s">
        <v>172</v>
      </c>
      <c r="D23" s="24" t="s">
        <v>173</v>
      </c>
      <c r="E23" s="27"/>
      <c r="F23" s="27"/>
      <c r="G23" s="27"/>
      <c r="H23" s="27"/>
      <c r="I23" s="27"/>
      <c r="J23" s="27" t="s">
        <v>35</v>
      </c>
      <c r="K23" s="27"/>
      <c r="L23" s="27" t="s">
        <v>31</v>
      </c>
      <c r="M23" s="27" t="s">
        <v>33</v>
      </c>
      <c r="N23" s="27"/>
      <c r="O23" s="27"/>
      <c r="P23" s="27"/>
      <c r="Q23" s="27"/>
      <c r="R23" s="27"/>
      <c r="S23" s="27"/>
      <c r="T23" s="27"/>
      <c r="U23" s="21" t="n">
        <f aca="false">COUNTA(E23:T23)</f>
        <v>3</v>
      </c>
      <c r="V23" s="21" t="n">
        <f aca="false">COUNTIF(E23:T23,"PRIMARY")</f>
        <v>1</v>
      </c>
      <c r="W23" s="21" t="str">
        <f aca="false">IF(COUNTA(E23:T23)=0,"NOT_FILLED",IF(COUNTIF(E23:T23,"PRIMARY")=0,"⚠ 無 PRIMARY",IF(COUNTIF(E23:T23,"PRIMARY")&gt;1,"雙候選 "&amp;COUNTIF(E23:T23,"PRIMARY")&amp;" 個",INDEX($E$1:$T$1,1,MATCH("PRIMARY",E23:T23,0)))))</f>
        <v>CBH
Cerebellar Hemisphere
/ Dentate</v>
      </c>
      <c r="X23" s="28" t="s">
        <v>94</v>
      </c>
      <c r="Y23" s="28" t="s">
        <v>95</v>
      </c>
      <c r="Z23" s="28"/>
      <c r="AA23" s="28"/>
      <c r="AB23" s="28"/>
      <c r="AC23" s="28" t="str">
        <f aca="false">IF(Y23="Y",IF(OR(Z23="",AA23=""),"🔴 REVIEW 缺理由/處置","ITEM_REVIEW_REQUIRED"),IF(AND($B23="OCULOMOTOR",X23&lt;&gt;"NOT_APPLICABLE",X23&lt;&gt;""),"🔴 OCM 不得側化",IF(AND($B23="DAILY_FUNCTION",COUNTA(E23:S23)&gt;0),"🔴 DFN 不得 localize",IF(COUNTA(E23:T23)=0,"⬜ 未填",IF(COUNTIF(E23:T23,"PRIMARY")&gt;2,"🔴 3+ PRIMARY 須標 REVIEW",IF(COUNTIF(E23:T23,"PRIMARY")=0,"⚠ 無 PRIMARY","OK"))))))</f>
        <v>OK</v>
      </c>
    </row>
    <row r="24" customFormat="false" ht="30" hidden="false" customHeight="true" outlineLevel="0" collapsed="false">
      <c r="A24" s="24" t="s">
        <v>174</v>
      </c>
      <c r="B24" s="25" t="s">
        <v>156</v>
      </c>
      <c r="C24" s="26" t="s">
        <v>175</v>
      </c>
      <c r="D24" s="24" t="s">
        <v>176</v>
      </c>
      <c r="E24" s="27"/>
      <c r="F24" s="27"/>
      <c r="G24" s="27"/>
      <c r="H24" s="27"/>
      <c r="I24" s="27" t="s">
        <v>35</v>
      </c>
      <c r="J24" s="27" t="s">
        <v>31</v>
      </c>
      <c r="K24" s="27"/>
      <c r="L24" s="27"/>
      <c r="M24" s="27"/>
      <c r="N24" s="27"/>
      <c r="O24" s="27"/>
      <c r="P24" s="27"/>
      <c r="Q24" s="27" t="s">
        <v>33</v>
      </c>
      <c r="R24" s="27"/>
      <c r="S24" s="27"/>
      <c r="T24" s="27"/>
      <c r="U24" s="21" t="n">
        <f aca="false">COUNTA(E24:T24)</f>
        <v>3</v>
      </c>
      <c r="V24" s="21" t="n">
        <f aca="false">COUNTIF(E24:T24,"PRIMARY")</f>
        <v>1</v>
      </c>
      <c r="W24" s="21" t="str">
        <f aca="false">IF(COUNTA(E24:T24)=0,"NOT_FILLED",IF(COUNTIF(E24:T24,"PRIMARY")=0,"⚠ 無 PRIMARY",IF(COUNTIF(E24:T24,"PRIMARY")&gt;1,"雙候選 "&amp;COUNTIF(E24:T24,"PRIMARY")&amp;" 個",INDEX($E$1:$T$1,1,MATCH("PRIMARY",E24:T24,0)))))</f>
        <v>cFN
Cerebellum – Fastigial
(cFN / FOR)</v>
      </c>
      <c r="X24" s="28" t="s">
        <v>94</v>
      </c>
      <c r="Y24" s="28" t="s">
        <v>95</v>
      </c>
      <c r="Z24" s="28"/>
      <c r="AA24" s="28"/>
      <c r="AB24" s="28"/>
      <c r="AC24" s="28" t="str">
        <f aca="false">IF(Y24="Y",IF(OR(Z24="",AA24=""),"🔴 REVIEW 缺理由/處置","ITEM_REVIEW_REQUIRED"),IF(AND($B24="OCULOMOTOR",X24&lt;&gt;"NOT_APPLICABLE",X24&lt;&gt;""),"🔴 OCM 不得側化",IF(AND($B24="DAILY_FUNCTION",COUNTA(E24:S24)&gt;0),"🔴 DFN 不得 localize",IF(COUNTA(E24:T24)=0,"⬜ 未填",IF(COUNTIF(E24:T24,"PRIMARY")&gt;2,"🔴 3+ PRIMARY 須標 REVIEW",IF(COUNTIF(E24:T24,"PRIMARY")=0,"⚠ 無 PRIMARY","OK"))))))</f>
        <v>OK</v>
      </c>
    </row>
    <row r="25" customFormat="false" ht="30" hidden="false" customHeight="true" outlineLevel="0" collapsed="false">
      <c r="A25" s="24" t="s">
        <v>177</v>
      </c>
      <c r="B25" s="25" t="s">
        <v>156</v>
      </c>
      <c r="C25" s="26" t="s">
        <v>178</v>
      </c>
      <c r="D25" s="24" t="s">
        <v>179</v>
      </c>
      <c r="E25" s="27"/>
      <c r="F25" s="27"/>
      <c r="G25" s="27"/>
      <c r="H25" s="27"/>
      <c r="I25" s="27"/>
      <c r="J25" s="27" t="s">
        <v>35</v>
      </c>
      <c r="K25" s="27"/>
      <c r="L25" s="27"/>
      <c r="M25" s="27"/>
      <c r="N25" s="27"/>
      <c r="O25" s="27"/>
      <c r="P25" s="27"/>
      <c r="Q25" s="27" t="s">
        <v>33</v>
      </c>
      <c r="R25" s="27"/>
      <c r="S25" s="27"/>
      <c r="T25" s="27"/>
      <c r="U25" s="21" t="n">
        <f aca="false">COUNTA(E25:T25)</f>
        <v>2</v>
      </c>
      <c r="V25" s="21" t="n">
        <f aca="false">COUNTIF(E25:T25,"PRIMARY")</f>
        <v>1</v>
      </c>
      <c r="W25" s="21" t="str">
        <f aca="false">IF(COUNTA(E25:T25)=0,"NOT_FILLED",IF(COUNTIF(E25:T25,"PRIMARY")=0,"⚠ 無 PRIMARY",IF(COUNTIF(E25:T25,"PRIMARY")&gt;1,"雙候選 "&amp;COUNTIF(E25:T25,"PRIMARY")&amp;" 個",INDEX($E$1:$T$1,1,MATCH("PRIMARY",E25:T25,0)))))</f>
        <v>CBH
Cerebellar Hemisphere
/ Dentate</v>
      </c>
      <c r="X25" s="28" t="s">
        <v>94</v>
      </c>
      <c r="Y25" s="28" t="s">
        <v>95</v>
      </c>
      <c r="Z25" s="28"/>
      <c r="AA25" s="28"/>
      <c r="AB25" s="28"/>
      <c r="AC25" s="28" t="str">
        <f aca="false">IF(Y25="Y",IF(OR(Z25="",AA25=""),"🔴 REVIEW 缺理由/處置","ITEM_REVIEW_REQUIRED"),IF(AND($B25="OCULOMOTOR",X25&lt;&gt;"NOT_APPLICABLE",X25&lt;&gt;""),"🔴 OCM 不得側化",IF(AND($B25="DAILY_FUNCTION",COUNTA(E25:S25)&gt;0),"🔴 DFN 不得 localize",IF(COUNTA(E25:T25)=0,"⬜ 未填",IF(COUNTIF(E25:T25,"PRIMARY")&gt;2,"🔴 3+ PRIMARY 須標 REVIEW",IF(COUNTIF(E25:T25,"PRIMARY")=0,"⚠ 無 PRIMARY","OK"))))))</f>
        <v>OK</v>
      </c>
    </row>
    <row r="26" customFormat="false" ht="30" hidden="false" customHeight="true" outlineLevel="0" collapsed="false">
      <c r="A26" s="24" t="s">
        <v>180</v>
      </c>
      <c r="B26" s="25" t="s">
        <v>156</v>
      </c>
      <c r="C26" s="26" t="s">
        <v>181</v>
      </c>
      <c r="D26" s="24" t="s">
        <v>182</v>
      </c>
      <c r="E26" s="27"/>
      <c r="F26" s="27" t="s">
        <v>33</v>
      </c>
      <c r="G26" s="27" t="s">
        <v>35</v>
      </c>
      <c r="H26" s="27"/>
      <c r="I26" s="27"/>
      <c r="J26" s="27" t="s">
        <v>31</v>
      </c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1" t="n">
        <f aca="false">COUNTA(E26:T26)</f>
        <v>3</v>
      </c>
      <c r="V26" s="21" t="n">
        <f aca="false">COUNTIF(E26:T26,"PRIMARY")</f>
        <v>1</v>
      </c>
      <c r="W26" s="21" t="str">
        <f aca="false">IF(COUNTA(E26:T26)=0,"NOT_FILLED",IF(COUNTIF(E26:T26,"PRIMARY")=0,"⚠ 無 PRIMARY",IF(COUNTIF(E26:T26,"PRIMARY")&gt;1,"雙候選 "&amp;COUNTIF(E26:T26,"PRIMARY")&amp;" 個",INDEX($E$1:$T$1,1,MATCH("PRIMARY",E26:T26,0)))))</f>
        <v>VCBL
Vestibulocerebellum
(Flocculus / Nodulus)</v>
      </c>
      <c r="X26" s="28" t="s">
        <v>94</v>
      </c>
      <c r="Y26" s="28" t="s">
        <v>95</v>
      </c>
      <c r="Z26" s="28"/>
      <c r="AA26" s="28"/>
      <c r="AB26" s="28"/>
      <c r="AC26" s="28" t="str">
        <f aca="false">IF(Y26="Y",IF(OR(Z26="",AA26=""),"🔴 REVIEW 缺理由/處置","ITEM_REVIEW_REQUIRED"),IF(AND($B26="OCULOMOTOR",X26&lt;&gt;"NOT_APPLICABLE",X26&lt;&gt;""),"🔴 OCM 不得側化",IF(AND($B26="DAILY_FUNCTION",COUNTA(E26:S26)&gt;0),"🔴 DFN 不得 localize",IF(COUNTA(E26:T26)=0,"⬜ 未填",IF(COUNTIF(E26:T26,"PRIMARY")&gt;2,"🔴 3+ PRIMARY 須標 REVIEW",IF(COUNTIF(E26:T26,"PRIMARY")=0,"⚠ 無 PRIMARY","OK"))))))</f>
        <v>OK</v>
      </c>
    </row>
    <row r="27" customFormat="false" ht="30" hidden="false" customHeight="true" outlineLevel="0" collapsed="false">
      <c r="A27" s="24" t="s">
        <v>183</v>
      </c>
      <c r="B27" s="25" t="s">
        <v>184</v>
      </c>
      <c r="C27" s="26" t="s">
        <v>185</v>
      </c>
      <c r="D27" s="24" t="s">
        <v>186</v>
      </c>
      <c r="E27" s="27"/>
      <c r="F27" s="27"/>
      <c r="G27" s="27"/>
      <c r="H27" s="27"/>
      <c r="I27" s="27"/>
      <c r="J27" s="27"/>
      <c r="K27" s="27"/>
      <c r="L27" s="27"/>
      <c r="M27" s="27"/>
      <c r="N27" s="27" t="s">
        <v>35</v>
      </c>
      <c r="O27" s="27"/>
      <c r="P27" s="27" t="s">
        <v>33</v>
      </c>
      <c r="Q27" s="27"/>
      <c r="R27" s="27"/>
      <c r="S27" s="27"/>
      <c r="T27" s="27"/>
      <c r="U27" s="21" t="n">
        <f aca="false">COUNTA(E27:T27)</f>
        <v>2</v>
      </c>
      <c r="V27" s="21" t="n">
        <f aca="false">COUNTIF(E27:T27,"PRIMARY")</f>
        <v>1</v>
      </c>
      <c r="W27" s="21" t="str">
        <f aca="false">IF(COUNTA(E27:T27)=0,"NOT_FILLED",IF(COUNTIF(E27:T27,"PRIMARY")=0,"⚠ 無 PRIMARY",IF(COUNTIF(E27:T27,"PRIMARY")&gt;1,"雙候選 "&amp;COUNTIF(E27:T27,"PRIMARY")&amp;" 個",INDEX($E$1:$T$1,1,MATCH("PRIMARY",E27:T27,0)))))</f>
        <v>FEF
Cortex – Frontal
(FEF / DLPFC)</v>
      </c>
      <c r="X27" s="28" t="s">
        <v>94</v>
      </c>
      <c r="Y27" s="28" t="s">
        <v>95</v>
      </c>
      <c r="Z27" s="28"/>
      <c r="AA27" s="28"/>
      <c r="AB27" s="28"/>
      <c r="AC27" s="28" t="str">
        <f aca="false">IF(Y27="Y",IF(OR(Z27="",AA27=""),"🔴 REVIEW 缺理由/處置","ITEM_REVIEW_REQUIRED"),IF(AND($B27="OCULOMOTOR",X27&lt;&gt;"NOT_APPLICABLE",X27&lt;&gt;""),"🔴 OCM 不得側化",IF(AND($B27="DAILY_FUNCTION",COUNTA(E27:S27)&gt;0),"🔴 DFN 不得 localize",IF(COUNTA(E27:T27)=0,"⬜ 未填",IF(COUNTIF(E27:T27,"PRIMARY")&gt;2,"🔴 3+ PRIMARY 須標 REVIEW",IF(COUNTIF(E27:T27,"PRIMARY")=0,"⚠ 無 PRIMARY","OK"))))))</f>
        <v>OK</v>
      </c>
    </row>
    <row r="28" customFormat="false" ht="30" hidden="false" customHeight="true" outlineLevel="0" collapsed="false">
      <c r="A28" s="24" t="s">
        <v>187</v>
      </c>
      <c r="B28" s="25" t="s">
        <v>184</v>
      </c>
      <c r="C28" s="26" t="s">
        <v>188</v>
      </c>
      <c r="D28" s="24" t="s">
        <v>189</v>
      </c>
      <c r="E28" s="27"/>
      <c r="F28" s="27"/>
      <c r="G28" s="27"/>
      <c r="H28" s="27"/>
      <c r="I28" s="27"/>
      <c r="J28" s="27"/>
      <c r="K28" s="27"/>
      <c r="L28" s="27"/>
      <c r="M28" s="27"/>
      <c r="N28" s="27" t="s">
        <v>35</v>
      </c>
      <c r="O28" s="27" t="s">
        <v>35</v>
      </c>
      <c r="P28" s="27"/>
      <c r="Q28" s="27" t="s">
        <v>33</v>
      </c>
      <c r="R28" s="27"/>
      <c r="S28" s="27"/>
      <c r="T28" s="27"/>
      <c r="U28" s="21" t="n">
        <f aca="false">COUNTA(E28:T28)</f>
        <v>3</v>
      </c>
      <c r="V28" s="21" t="n">
        <f aca="false">COUNTIF(E28:T28,"PRIMARY")</f>
        <v>2</v>
      </c>
      <c r="W28" s="21" t="str">
        <f aca="false">IF(COUNTA(E28:T28)=0,"NOT_FILLED",IF(COUNTIF(E28:T28,"PRIMARY")=0,"⚠ 無 PRIMARY",IF(COUNTIF(E28:T28,"PRIMARY")&gt;1,"雙候選 "&amp;COUNTIF(E28:T28,"PRIMARY")&amp;" 個",INDEX($E$1:$T$1,1,MATCH("PRIMARY",E28:T28,0)))))</f>
        <v>雙候選 2 個</v>
      </c>
      <c r="X28" s="28" t="s">
        <v>94</v>
      </c>
      <c r="Y28" s="28" t="s">
        <v>95</v>
      </c>
      <c r="Z28" s="28"/>
      <c r="AA28" s="28"/>
      <c r="AB28" s="28"/>
      <c r="AC28" s="28" t="str">
        <f aca="false">IF(Y28="Y",IF(OR(Z28="",AA28=""),"🔴 REVIEW 缺理由/處置","ITEM_REVIEW_REQUIRED"),IF(AND($B28="OCULOMOTOR",X28&lt;&gt;"NOT_APPLICABLE",X28&lt;&gt;""),"🔴 OCM 不得側化",IF(AND($B28="DAILY_FUNCTION",COUNTA(E28:S28)&gt;0),"🔴 DFN 不得 localize",IF(COUNTA(E28:T28)=0,"⬜ 未填",IF(COUNTIF(E28:T28,"PRIMARY")&gt;2,"🔴 3+ PRIMARY 須標 REVIEW",IF(COUNTIF(E28:T28,"PRIMARY")=0,"⚠ 無 PRIMARY","OK"))))))</f>
        <v>OK</v>
      </c>
    </row>
    <row r="29" customFormat="false" ht="30" hidden="false" customHeight="true" outlineLevel="0" collapsed="false">
      <c r="A29" s="24" t="s">
        <v>190</v>
      </c>
      <c r="B29" s="25" t="s">
        <v>184</v>
      </c>
      <c r="C29" s="26" t="s">
        <v>191</v>
      </c>
      <c r="D29" s="24" t="s">
        <v>192</v>
      </c>
      <c r="E29" s="27"/>
      <c r="F29" s="27"/>
      <c r="G29" s="27"/>
      <c r="H29" s="27"/>
      <c r="I29" s="27"/>
      <c r="J29" s="27"/>
      <c r="K29" s="27"/>
      <c r="L29" s="27"/>
      <c r="M29" s="27"/>
      <c r="N29" s="27" t="s">
        <v>35</v>
      </c>
      <c r="O29" s="27"/>
      <c r="P29" s="27"/>
      <c r="Q29" s="27" t="s">
        <v>33</v>
      </c>
      <c r="R29" s="27"/>
      <c r="S29" s="27"/>
      <c r="T29" s="27"/>
      <c r="U29" s="21" t="n">
        <f aca="false">COUNTA(E29:T29)</f>
        <v>2</v>
      </c>
      <c r="V29" s="21" t="n">
        <f aca="false">COUNTIF(E29:T29,"PRIMARY")</f>
        <v>1</v>
      </c>
      <c r="W29" s="21" t="str">
        <f aca="false">IF(COUNTA(E29:T29)=0,"NOT_FILLED",IF(COUNTIF(E29:T29,"PRIMARY")=0,"⚠ 無 PRIMARY",IF(COUNTIF(E29:T29,"PRIMARY")&gt;1,"雙候選 "&amp;COUNTIF(E29:T29,"PRIMARY")&amp;" 個",INDEX($E$1:$T$1,1,MATCH("PRIMARY",E29:T29,0)))))</f>
        <v>FEF
Cortex – Frontal
(FEF / DLPFC)</v>
      </c>
      <c r="X29" s="28" t="s">
        <v>94</v>
      </c>
      <c r="Y29" s="28" t="s">
        <v>95</v>
      </c>
      <c r="Z29" s="28"/>
      <c r="AA29" s="28"/>
      <c r="AB29" s="28"/>
      <c r="AC29" s="28" t="str">
        <f aca="false">IF(Y29="Y",IF(OR(Z29="",AA29=""),"🔴 REVIEW 缺理由/處置","ITEM_REVIEW_REQUIRED"),IF(AND($B29="OCULOMOTOR",X29&lt;&gt;"NOT_APPLICABLE",X29&lt;&gt;""),"🔴 OCM 不得側化",IF(AND($B29="DAILY_FUNCTION",COUNTA(E29:S29)&gt;0),"🔴 DFN 不得 localize",IF(COUNTA(E29:T29)=0,"⬜ 未填",IF(COUNTIF(E29:T29,"PRIMARY")&gt;2,"🔴 3+ PRIMARY 須標 REVIEW",IF(COUNTIF(E29:T29,"PRIMARY")=0,"⚠ 無 PRIMARY","OK"))))))</f>
        <v>OK</v>
      </c>
    </row>
    <row r="30" customFormat="false" ht="30" hidden="false" customHeight="true" outlineLevel="0" collapsed="false">
      <c r="A30" s="24" t="s">
        <v>193</v>
      </c>
      <c r="B30" s="25" t="s">
        <v>184</v>
      </c>
      <c r="C30" s="26" t="s">
        <v>194</v>
      </c>
      <c r="D30" s="24" t="s">
        <v>195</v>
      </c>
      <c r="E30" s="27"/>
      <c r="F30" s="27"/>
      <c r="G30" s="27"/>
      <c r="H30" s="27"/>
      <c r="I30" s="27"/>
      <c r="J30" s="27"/>
      <c r="K30" s="27"/>
      <c r="L30" s="27"/>
      <c r="M30" s="27"/>
      <c r="N30" s="27" t="s">
        <v>33</v>
      </c>
      <c r="O30" s="27"/>
      <c r="P30" s="27" t="s">
        <v>35</v>
      </c>
      <c r="Q30" s="27"/>
      <c r="R30" s="27"/>
      <c r="S30" s="27"/>
      <c r="T30" s="27"/>
      <c r="U30" s="21" t="n">
        <f aca="false">COUNTA(E30:T30)</f>
        <v>2</v>
      </c>
      <c r="V30" s="21" t="n">
        <f aca="false">COUNTIF(E30:T30,"PRIMARY")</f>
        <v>1</v>
      </c>
      <c r="W30" s="21" t="str">
        <f aca="false">IF(COUNTA(E30:T30)=0,"NOT_FILLED",IF(COUNTIF(E30:T30,"PRIMARY")=0,"⚠ 無 PRIMARY",IF(COUNTIF(E30:T30,"PRIMARY")&gt;1,"雙候選 "&amp;COUNTIF(E30:T30,"PRIMARY")&amp;" 個",INDEX($E$1:$T$1,1,MATCH("PRIMARY",E30:T30,0)))))</f>
        <v>TEMP
Cortex – Temporal
(vestibular cortex)</v>
      </c>
      <c r="X30" s="28" t="s">
        <v>94</v>
      </c>
      <c r="Y30" s="28" t="s">
        <v>95</v>
      </c>
      <c r="Z30" s="28"/>
      <c r="AA30" s="28"/>
      <c r="AB30" s="28"/>
      <c r="AC30" s="28" t="str">
        <f aca="false">IF(Y30="Y",IF(OR(Z30="",AA30=""),"🔴 REVIEW 缺理由/處置","ITEM_REVIEW_REQUIRED"),IF(AND($B30="OCULOMOTOR",X30&lt;&gt;"NOT_APPLICABLE",X30&lt;&gt;""),"🔴 OCM 不得側化",IF(AND($B30="DAILY_FUNCTION",COUNTA(E30:S30)&gt;0),"🔴 DFN 不得 localize",IF(COUNTA(E30:T30)=0,"⬜ 未填",IF(COUNTIF(E30:T30,"PRIMARY")&gt;2,"🔴 3+ PRIMARY 須標 REVIEW",IF(COUNTIF(E30:T30,"PRIMARY")=0,"⚠ 無 PRIMARY","OK"))))))</f>
        <v>OK</v>
      </c>
    </row>
    <row r="31" customFormat="false" ht="30" hidden="false" customHeight="true" outlineLevel="0" collapsed="false">
      <c r="A31" s="24" t="s">
        <v>196</v>
      </c>
      <c r="B31" s="25" t="s">
        <v>184</v>
      </c>
      <c r="C31" s="26" t="s">
        <v>197</v>
      </c>
      <c r="D31" s="24" t="s">
        <v>198</v>
      </c>
      <c r="E31" s="27"/>
      <c r="F31" s="27"/>
      <c r="G31" s="27"/>
      <c r="H31" s="27"/>
      <c r="I31" s="27"/>
      <c r="J31" s="27"/>
      <c r="K31" s="27"/>
      <c r="L31" s="27"/>
      <c r="M31" s="27"/>
      <c r="N31" s="27" t="s">
        <v>35</v>
      </c>
      <c r="O31" s="27"/>
      <c r="P31" s="27"/>
      <c r="Q31" s="27" t="s">
        <v>33</v>
      </c>
      <c r="R31" s="27"/>
      <c r="S31" s="27"/>
      <c r="T31" s="27"/>
      <c r="U31" s="21" t="n">
        <f aca="false">COUNTA(E31:T31)</f>
        <v>2</v>
      </c>
      <c r="V31" s="21" t="n">
        <f aca="false">COUNTIF(E31:T31,"PRIMARY")</f>
        <v>1</v>
      </c>
      <c r="W31" s="21" t="str">
        <f aca="false">IF(COUNTA(E31:T31)=0,"NOT_FILLED",IF(COUNTIF(E31:T31,"PRIMARY")=0,"⚠ 無 PRIMARY",IF(COUNTIF(E31:T31,"PRIMARY")&gt;1,"雙候選 "&amp;COUNTIF(E31:T31,"PRIMARY")&amp;" 個",INDEX($E$1:$T$1,1,MATCH("PRIMARY",E31:T31,0)))))</f>
        <v>FEF
Cortex – Frontal
(FEF / DLPFC)</v>
      </c>
      <c r="X31" s="28" t="s">
        <v>94</v>
      </c>
      <c r="Y31" s="28" t="s">
        <v>95</v>
      </c>
      <c r="Z31" s="28"/>
      <c r="AA31" s="28"/>
      <c r="AB31" s="28"/>
      <c r="AC31" s="28" t="str">
        <f aca="false">IF(Y31="Y",IF(OR(Z31="",AA31=""),"🔴 REVIEW 缺理由/處置","ITEM_REVIEW_REQUIRED"),IF(AND($B31="OCULOMOTOR",X31&lt;&gt;"NOT_APPLICABLE",X31&lt;&gt;""),"🔴 OCM 不得側化",IF(AND($B31="DAILY_FUNCTION",COUNTA(E31:S31)&gt;0),"🔴 DFN 不得 localize",IF(COUNTA(E31:T31)=0,"⬜ 未填",IF(COUNTIF(E31:T31,"PRIMARY")&gt;2,"🔴 3+ PRIMARY 須標 REVIEW",IF(COUNTIF(E31:T31,"PRIMARY")=0,"⚠ 無 PRIMARY","OK"))))))</f>
        <v>OK</v>
      </c>
    </row>
    <row r="32" customFormat="false" ht="30" hidden="false" customHeight="true" outlineLevel="0" collapsed="false">
      <c r="A32" s="24" t="s">
        <v>199</v>
      </c>
      <c r="B32" s="25" t="s">
        <v>184</v>
      </c>
      <c r="C32" s="26" t="s">
        <v>200</v>
      </c>
      <c r="D32" s="24" t="s">
        <v>201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 t="s">
        <v>35</v>
      </c>
      <c r="P32" s="27" t="s">
        <v>33</v>
      </c>
      <c r="Q32" s="27"/>
      <c r="R32" s="27"/>
      <c r="S32" s="27"/>
      <c r="T32" s="27"/>
      <c r="U32" s="21" t="n">
        <f aca="false">COUNTA(E32:T32)</f>
        <v>2</v>
      </c>
      <c r="V32" s="21" t="n">
        <f aca="false">COUNTIF(E32:T32,"PRIMARY")</f>
        <v>1</v>
      </c>
      <c r="W32" s="21" t="str">
        <f aca="false">IF(COUNTA(E32:T32)=0,"NOT_FILLED",IF(COUNTIF(E32:T32,"PRIMARY")=0,"⚠ 無 PRIMARY",IF(COUNTIF(E32:T32,"PRIMARY")&gt;1,"雙候選 "&amp;COUNTIF(E32:T32,"PRIMARY")&amp;" 個",INDEX($E$1:$T$1,1,MATCH("PRIMARY",E32:T32,0)))))</f>
        <v>PAR
Cortex – Parietal</v>
      </c>
      <c r="X32" s="28" t="s">
        <v>94</v>
      </c>
      <c r="Y32" s="28" t="s">
        <v>95</v>
      </c>
      <c r="Z32" s="28"/>
      <c r="AA32" s="28"/>
      <c r="AB32" s="28"/>
      <c r="AC32" s="28" t="str">
        <f aca="false">IF(Y32="Y",IF(OR(Z32="",AA32=""),"🔴 REVIEW 缺理由/處置","ITEM_REVIEW_REQUIRED"),IF(AND($B32="OCULOMOTOR",X32&lt;&gt;"NOT_APPLICABLE",X32&lt;&gt;""),"🔴 OCM 不得側化",IF(AND($B32="DAILY_FUNCTION",COUNTA(E32:S32)&gt;0),"🔴 DFN 不得 localize",IF(COUNTA(E32:T32)=0,"⬜ 未填",IF(COUNTIF(E32:T32,"PRIMARY")&gt;2,"🔴 3+ PRIMARY 須標 REVIEW",IF(COUNTIF(E32:T32,"PRIMARY")=0,"⚠ 無 PRIMARY","OK"))))))</f>
        <v>OK</v>
      </c>
    </row>
    <row r="33" customFormat="false" ht="30" hidden="false" customHeight="true" outlineLevel="0" collapsed="false">
      <c r="A33" s="24" t="s">
        <v>202</v>
      </c>
      <c r="B33" s="25" t="s">
        <v>184</v>
      </c>
      <c r="C33" s="26" t="s">
        <v>203</v>
      </c>
      <c r="D33" s="24" t="s">
        <v>204</v>
      </c>
      <c r="E33" s="27"/>
      <c r="F33" s="27"/>
      <c r="G33" s="27"/>
      <c r="H33" s="27"/>
      <c r="I33" s="27"/>
      <c r="J33" s="27"/>
      <c r="K33" s="27"/>
      <c r="L33" s="27"/>
      <c r="M33" s="27"/>
      <c r="N33" s="27" t="s">
        <v>35</v>
      </c>
      <c r="O33" s="27" t="s">
        <v>31</v>
      </c>
      <c r="P33" s="27"/>
      <c r="Q33" s="27" t="s">
        <v>33</v>
      </c>
      <c r="R33" s="27"/>
      <c r="S33" s="27"/>
      <c r="T33" s="27"/>
      <c r="U33" s="21" t="n">
        <f aca="false">COUNTA(E33:T33)</f>
        <v>3</v>
      </c>
      <c r="V33" s="21" t="n">
        <f aca="false">COUNTIF(E33:T33,"PRIMARY")</f>
        <v>1</v>
      </c>
      <c r="W33" s="21" t="str">
        <f aca="false">IF(COUNTA(E33:T33)=0,"NOT_FILLED",IF(COUNTIF(E33:T33,"PRIMARY")=0,"⚠ 無 PRIMARY",IF(COUNTIF(E33:T33,"PRIMARY")&gt;1,"雙候選 "&amp;COUNTIF(E33:T33,"PRIMARY")&amp;" 個",INDEX($E$1:$T$1,1,MATCH("PRIMARY",E33:T33,0)))))</f>
        <v>FEF
Cortex – Frontal
(FEF / DLPFC)</v>
      </c>
      <c r="X33" s="28" t="s">
        <v>94</v>
      </c>
      <c r="Y33" s="28" t="s">
        <v>95</v>
      </c>
      <c r="Z33" s="28"/>
      <c r="AA33" s="28"/>
      <c r="AB33" s="28"/>
      <c r="AC33" s="28" t="str">
        <f aca="false">IF(Y33="Y",IF(OR(Z33="",AA33=""),"🔴 REVIEW 缺理由/處置","ITEM_REVIEW_REQUIRED"),IF(AND($B33="OCULOMOTOR",X33&lt;&gt;"NOT_APPLICABLE",X33&lt;&gt;""),"🔴 OCM 不得側化",IF(AND($B33="DAILY_FUNCTION",COUNTA(E33:S33)&gt;0),"🔴 DFN 不得 localize",IF(COUNTA(E33:T33)=0,"⬜ 未填",IF(COUNTIF(E33:T33,"PRIMARY")&gt;2,"🔴 3+ PRIMARY 須標 REVIEW",IF(COUNTIF(E33:T33,"PRIMARY")=0,"⚠ 無 PRIMARY","OK"))))))</f>
        <v>OK</v>
      </c>
    </row>
    <row r="34" customFormat="false" ht="30" hidden="false" customHeight="true" outlineLevel="0" collapsed="false">
      <c r="A34" s="24" t="s">
        <v>205</v>
      </c>
      <c r="B34" s="25" t="s">
        <v>184</v>
      </c>
      <c r="C34" s="26" t="s">
        <v>206</v>
      </c>
      <c r="D34" s="24" t="s">
        <v>207</v>
      </c>
      <c r="E34" s="27"/>
      <c r="F34" s="27"/>
      <c r="G34" s="27"/>
      <c r="H34" s="27"/>
      <c r="I34" s="27"/>
      <c r="J34" s="27"/>
      <c r="K34" s="27"/>
      <c r="L34" s="27"/>
      <c r="M34" s="27"/>
      <c r="N34" s="27" t="s">
        <v>31</v>
      </c>
      <c r="O34" s="27"/>
      <c r="P34" s="27"/>
      <c r="Q34" s="27"/>
      <c r="R34" s="27" t="s">
        <v>31</v>
      </c>
      <c r="S34" s="27"/>
      <c r="T34" s="27" t="s">
        <v>35</v>
      </c>
      <c r="U34" s="21" t="n">
        <f aca="false">COUNTA(E34:T34)</f>
        <v>3</v>
      </c>
      <c r="V34" s="21" t="n">
        <f aca="false">COUNTIF(E34:T34,"PRIMARY")</f>
        <v>1</v>
      </c>
      <c r="W34" s="21" t="str">
        <f aca="false">IF(COUNTA(E34:T34)=0,"NOT_FILLED",IF(COUNTIF(E34:T34,"PRIMARY")=0,"⚠ 無 PRIMARY",IF(COUNTIF(E34:T34,"PRIMARY")&gt;1,"雙候選 "&amp;COUNTIF(E34:T34,"PRIMARY")&amp;" 個",INDEX($E$1:$T$1,1,MATCH("PRIMARY",E34:T34,0)))))</f>
        <v>NONLOC
NON-LOCALIZING
(impact only)</v>
      </c>
      <c r="X34" s="28" t="s">
        <v>94</v>
      </c>
      <c r="Y34" s="28" t="s">
        <v>137</v>
      </c>
      <c r="Z34" s="28" t="s">
        <v>153</v>
      </c>
      <c r="AA34" s="28" t="s">
        <v>139</v>
      </c>
      <c r="AB34" s="29" t="s">
        <v>208</v>
      </c>
      <c r="AC34" s="28" t="str">
        <f aca="false">IF(Y34="Y",IF(OR(Z34="",AA34=""),"🔴 REVIEW 缺理由/處置","ITEM_REVIEW_REQUIRED"),IF(AND($B34="OCULOMOTOR",X34&lt;&gt;"NOT_APPLICABLE",X34&lt;&gt;""),"🔴 OCM 不得側化",IF(AND($B34="DAILY_FUNCTION",COUNTA(E34:S34)&gt;0),"🔴 DFN 不得 localize",IF(COUNTA(E34:T34)=0,"⬜ 未填",IF(COUNTIF(E34:T34,"PRIMARY")&gt;2,"🔴 3+ PRIMARY 須標 REVIEW",IF(COUNTIF(E34:T34,"PRIMARY")=0,"⚠ 無 PRIMARY","OK"))))))</f>
        <v>ITEM_REVIEW_REQUIRED</v>
      </c>
    </row>
    <row r="35" customFormat="false" ht="30" hidden="false" customHeight="true" outlineLevel="0" collapsed="false">
      <c r="A35" s="24" t="s">
        <v>209</v>
      </c>
      <c r="B35" s="25" t="s">
        <v>210</v>
      </c>
      <c r="C35" s="26" t="s">
        <v>211</v>
      </c>
      <c r="D35" s="24" t="s">
        <v>212</v>
      </c>
      <c r="E35" s="27"/>
      <c r="F35" s="27" t="s">
        <v>33</v>
      </c>
      <c r="G35" s="27"/>
      <c r="H35" s="27"/>
      <c r="I35" s="27"/>
      <c r="J35" s="27"/>
      <c r="K35" s="27"/>
      <c r="L35" s="27"/>
      <c r="M35" s="27" t="s">
        <v>33</v>
      </c>
      <c r="N35" s="27"/>
      <c r="O35" s="27"/>
      <c r="P35" s="27"/>
      <c r="Q35" s="27"/>
      <c r="R35" s="27" t="s">
        <v>35</v>
      </c>
      <c r="S35" s="27"/>
      <c r="T35" s="27"/>
      <c r="U35" s="21" t="n">
        <f aca="false">COUNTA(E35:T35)</f>
        <v>3</v>
      </c>
      <c r="V35" s="21" t="n">
        <f aca="false">COUNTIF(E35:T35,"PRIMARY")</f>
        <v>1</v>
      </c>
      <c r="W35" s="21" t="str">
        <f aca="false">IF(COUNTA(E35:T35)=0,"NOT_FILLED",IF(COUNTIF(E35:T35,"PRIMARY")=0,"⚠ 無 PRIMARY",IF(COUNTIF(E35:T35,"PRIMARY")&gt;1,"雙候選 "&amp;COUNTIF(E35:T35,"PRIMARY")&amp;" 個",INDEX($E$1:$T$1,1,MATCH("PRIMARY",E35:T35,0)))))</f>
        <v>AUTO
Autonomic
(Symp / Parasymp)</v>
      </c>
      <c r="X35" s="28" t="s">
        <v>94</v>
      </c>
      <c r="Y35" s="28" t="s">
        <v>95</v>
      </c>
      <c r="Z35" s="28"/>
      <c r="AA35" s="28"/>
      <c r="AB35" s="28"/>
      <c r="AC35" s="28" t="str">
        <f aca="false">IF(Y35="Y",IF(OR(Z35="",AA35=""),"🔴 REVIEW 缺理由/處置","ITEM_REVIEW_REQUIRED"),IF(AND($B35="OCULOMOTOR",X35&lt;&gt;"NOT_APPLICABLE",X35&lt;&gt;""),"🔴 OCM 不得側化",IF(AND($B35="DAILY_FUNCTION",COUNTA(E35:S35)&gt;0),"🔴 DFN 不得 localize",IF(COUNTA(E35:T35)=0,"⬜ 未填",IF(COUNTIF(E35:T35,"PRIMARY")&gt;2,"🔴 3+ PRIMARY 須標 REVIEW",IF(COUNTIF(E35:T35,"PRIMARY")=0,"⚠ 無 PRIMARY","OK"))))))</f>
        <v>OK</v>
      </c>
    </row>
    <row r="36" customFormat="false" ht="30" hidden="false" customHeight="true" outlineLevel="0" collapsed="false">
      <c r="A36" s="24" t="s">
        <v>213</v>
      </c>
      <c r="B36" s="25" t="s">
        <v>210</v>
      </c>
      <c r="C36" s="26" t="s">
        <v>214</v>
      </c>
      <c r="D36" s="24" t="s">
        <v>215</v>
      </c>
      <c r="E36" s="27"/>
      <c r="F36" s="27"/>
      <c r="G36" s="27"/>
      <c r="H36" s="27"/>
      <c r="I36" s="27"/>
      <c r="J36" s="27"/>
      <c r="K36" s="27"/>
      <c r="L36" s="27"/>
      <c r="M36" s="27" t="s">
        <v>33</v>
      </c>
      <c r="N36" s="27"/>
      <c r="O36" s="27"/>
      <c r="P36" s="27"/>
      <c r="Q36" s="27"/>
      <c r="R36" s="27" t="s">
        <v>35</v>
      </c>
      <c r="S36" s="27"/>
      <c r="T36" s="27"/>
      <c r="U36" s="21" t="n">
        <f aca="false">COUNTA(E36:T36)</f>
        <v>2</v>
      </c>
      <c r="V36" s="21" t="n">
        <f aca="false">COUNTIF(E36:T36,"PRIMARY")</f>
        <v>1</v>
      </c>
      <c r="W36" s="21" t="str">
        <f aca="false">IF(COUNTA(E36:T36)=0,"NOT_FILLED",IF(COUNTIF(E36:T36,"PRIMARY")=0,"⚠ 無 PRIMARY",IF(COUNTIF(E36:T36,"PRIMARY")&gt;1,"雙候選 "&amp;COUNTIF(E36:T36,"PRIMARY")&amp;" 個",INDEX($E$1:$T$1,1,MATCH("PRIMARY",E36:T36,0)))))</f>
        <v>AUTO
Autonomic
(Symp / Parasymp)</v>
      </c>
      <c r="X36" s="28" t="s">
        <v>94</v>
      </c>
      <c r="Y36" s="28" t="s">
        <v>95</v>
      </c>
      <c r="Z36" s="28"/>
      <c r="AA36" s="28"/>
      <c r="AB36" s="28"/>
      <c r="AC36" s="28" t="str">
        <f aca="false">IF(Y36="Y",IF(OR(Z36="",AA36=""),"🔴 REVIEW 缺理由/處置","ITEM_REVIEW_REQUIRED"),IF(AND($B36="OCULOMOTOR",X36&lt;&gt;"NOT_APPLICABLE",X36&lt;&gt;""),"🔴 OCM 不得側化",IF(AND($B36="DAILY_FUNCTION",COUNTA(E36:S36)&gt;0),"🔴 DFN 不得 localize",IF(COUNTA(E36:T36)=0,"⬜ 未填",IF(COUNTIF(E36:T36,"PRIMARY")&gt;2,"🔴 3+ PRIMARY 須標 REVIEW",IF(COUNTIF(E36:T36,"PRIMARY")=0,"⚠ 無 PRIMARY","OK"))))))</f>
        <v>OK</v>
      </c>
    </row>
    <row r="37" customFormat="false" ht="30" hidden="false" customHeight="true" outlineLevel="0" collapsed="false">
      <c r="A37" s="24" t="s">
        <v>216</v>
      </c>
      <c r="B37" s="25" t="s">
        <v>210</v>
      </c>
      <c r="C37" s="26" t="s">
        <v>217</v>
      </c>
      <c r="D37" s="24" t="s">
        <v>218</v>
      </c>
      <c r="E37" s="27"/>
      <c r="F37" s="27"/>
      <c r="G37" s="27"/>
      <c r="H37" s="27"/>
      <c r="I37" s="27"/>
      <c r="J37" s="27"/>
      <c r="K37" s="27"/>
      <c r="L37" s="27"/>
      <c r="M37" s="27" t="s">
        <v>33</v>
      </c>
      <c r="N37" s="27"/>
      <c r="O37" s="27"/>
      <c r="P37" s="27"/>
      <c r="Q37" s="27"/>
      <c r="R37" s="27" t="s">
        <v>35</v>
      </c>
      <c r="S37" s="27"/>
      <c r="T37" s="27"/>
      <c r="U37" s="21" t="n">
        <f aca="false">COUNTA(E37:T37)</f>
        <v>2</v>
      </c>
      <c r="V37" s="21" t="n">
        <f aca="false">COUNTIF(E37:T37,"PRIMARY")</f>
        <v>1</v>
      </c>
      <c r="W37" s="21" t="str">
        <f aca="false">IF(COUNTA(E37:T37)=0,"NOT_FILLED",IF(COUNTIF(E37:T37,"PRIMARY")=0,"⚠ 無 PRIMARY",IF(COUNTIF(E37:T37,"PRIMARY")&gt;1,"雙候選 "&amp;COUNTIF(E37:T37,"PRIMARY")&amp;" 個",INDEX($E$1:$T$1,1,MATCH("PRIMARY",E37:T37,0)))))</f>
        <v>AUTO
Autonomic
(Symp / Parasymp)</v>
      </c>
      <c r="X37" s="28" t="s">
        <v>94</v>
      </c>
      <c r="Y37" s="28" t="s">
        <v>95</v>
      </c>
      <c r="Z37" s="28"/>
      <c r="AA37" s="28"/>
      <c r="AB37" s="28"/>
      <c r="AC37" s="28" t="str">
        <f aca="false">IF(Y37="Y",IF(OR(Z37="",AA37=""),"🔴 REVIEW 缺理由/處置","ITEM_REVIEW_REQUIRED"),IF(AND($B37="OCULOMOTOR",X37&lt;&gt;"NOT_APPLICABLE",X37&lt;&gt;""),"🔴 OCM 不得側化",IF(AND($B37="DAILY_FUNCTION",COUNTA(E37:S37)&gt;0),"🔴 DFN 不得 localize",IF(COUNTA(E37:T37)=0,"⬜ 未填",IF(COUNTIF(E37:T37,"PRIMARY")&gt;2,"🔴 3+ PRIMARY 須標 REVIEW",IF(COUNTIF(E37:T37,"PRIMARY")=0,"⚠ 無 PRIMARY","OK"))))))</f>
        <v>OK</v>
      </c>
    </row>
    <row r="38" customFormat="false" ht="30" hidden="false" customHeight="true" outlineLevel="0" collapsed="false">
      <c r="A38" s="24" t="s">
        <v>219</v>
      </c>
      <c r="B38" s="25" t="s">
        <v>210</v>
      </c>
      <c r="C38" s="26" t="s">
        <v>220</v>
      </c>
      <c r="D38" s="24" t="s">
        <v>221</v>
      </c>
      <c r="E38" s="27"/>
      <c r="F38" s="27"/>
      <c r="G38" s="27"/>
      <c r="H38" s="27"/>
      <c r="I38" s="27"/>
      <c r="J38" s="27"/>
      <c r="K38" s="27"/>
      <c r="L38" s="27" t="s">
        <v>33</v>
      </c>
      <c r="M38" s="27" t="s">
        <v>35</v>
      </c>
      <c r="N38" s="27"/>
      <c r="O38" s="27"/>
      <c r="P38" s="27"/>
      <c r="Q38" s="27"/>
      <c r="R38" s="27"/>
      <c r="S38" s="27"/>
      <c r="T38" s="27"/>
      <c r="U38" s="21" t="n">
        <f aca="false">COUNTA(E38:T38)</f>
        <v>2</v>
      </c>
      <c r="V38" s="21" t="n">
        <f aca="false">COUNTIF(E38:T38,"PRIMARY")</f>
        <v>1</v>
      </c>
      <c r="W38" s="21" t="str">
        <f aca="false">IF(COUNTA(E38:T38)=0,"NOT_FILLED",IF(COUNTIF(E38:T38,"PRIMARY")=0,"⚠ 無 PRIMARY",IF(COUNTIF(E38:T38,"PRIMARY")&gt;1,"雙候選 "&amp;COUNTIF(E38:T38,"PRIMARY")&amp;" 個",INDEX($E$1:$T$1,1,MATCH("PRIMARY",E38:T38,0)))))</f>
        <v>MEDU
Brainstem – Medulla
(NTS / autonomic)</v>
      </c>
      <c r="X38" s="28" t="s">
        <v>94</v>
      </c>
      <c r="Y38" s="28" t="s">
        <v>95</v>
      </c>
      <c r="Z38" s="28"/>
      <c r="AA38" s="28"/>
      <c r="AB38" s="28"/>
      <c r="AC38" s="28" t="str">
        <f aca="false">IF(Y38="Y",IF(OR(Z38="",AA38=""),"🔴 REVIEW 缺理由/處置","ITEM_REVIEW_REQUIRED"),IF(AND($B38="OCULOMOTOR",X38&lt;&gt;"NOT_APPLICABLE",X38&lt;&gt;""),"🔴 OCM 不得側化",IF(AND($B38="DAILY_FUNCTION",COUNTA(E38:S38)&gt;0),"🔴 DFN 不得 localize",IF(COUNTA(E38:T38)=0,"⬜ 未填",IF(COUNTIF(E38:T38,"PRIMARY")&gt;2,"🔴 3+ PRIMARY 須標 REVIEW",IF(COUNTIF(E38:T38,"PRIMARY")=0,"⚠ 無 PRIMARY","OK"))))))</f>
        <v>OK</v>
      </c>
    </row>
    <row r="39" customFormat="false" ht="30" hidden="false" customHeight="true" outlineLevel="0" collapsed="false">
      <c r="A39" s="24" t="s">
        <v>222</v>
      </c>
      <c r="B39" s="25" t="s">
        <v>210</v>
      </c>
      <c r="C39" s="26" t="s">
        <v>223</v>
      </c>
      <c r="D39" s="24" t="s">
        <v>224</v>
      </c>
      <c r="E39" s="27"/>
      <c r="F39" s="27" t="s">
        <v>31</v>
      </c>
      <c r="G39" s="27"/>
      <c r="H39" s="27"/>
      <c r="I39" s="27"/>
      <c r="J39" s="27"/>
      <c r="K39" s="27"/>
      <c r="L39" s="27"/>
      <c r="M39" s="27" t="s">
        <v>35</v>
      </c>
      <c r="N39" s="27"/>
      <c r="O39" s="27"/>
      <c r="P39" s="27"/>
      <c r="Q39" s="27"/>
      <c r="R39" s="27" t="s">
        <v>35</v>
      </c>
      <c r="S39" s="27"/>
      <c r="T39" s="27"/>
      <c r="U39" s="21" t="n">
        <f aca="false">COUNTA(E39:T39)</f>
        <v>3</v>
      </c>
      <c r="V39" s="21" t="n">
        <f aca="false">COUNTIF(E39:T39,"PRIMARY")</f>
        <v>2</v>
      </c>
      <c r="W39" s="21" t="str">
        <f aca="false">IF(COUNTA(E39:T39)=0,"NOT_FILLED",IF(COUNTIF(E39:T39,"PRIMARY")=0,"⚠ 無 PRIMARY",IF(COUNTIF(E39:T39,"PRIMARY")&gt;1,"雙候選 "&amp;COUNTIF(E39:T39,"PRIMARY")&amp;" 個",INDEX($E$1:$T$1,1,MATCH("PRIMARY",E39:T39,0)))))</f>
        <v>雙候選 2 個</v>
      </c>
      <c r="X39" s="28" t="s">
        <v>94</v>
      </c>
      <c r="Y39" s="28" t="s">
        <v>95</v>
      </c>
      <c r="Z39" s="28"/>
      <c r="AA39" s="28"/>
      <c r="AB39" s="28"/>
      <c r="AC39" s="28" t="str">
        <f aca="false">IF(Y39="Y",IF(OR(Z39="",AA39=""),"🔴 REVIEW 缺理由/處置","ITEM_REVIEW_REQUIRED"),IF(AND($B39="OCULOMOTOR",X39&lt;&gt;"NOT_APPLICABLE",X39&lt;&gt;""),"🔴 OCM 不得側化",IF(AND($B39="DAILY_FUNCTION",COUNTA(E39:S39)&gt;0),"🔴 DFN 不得 localize",IF(COUNTA(E39:T39)=0,"⬜ 未填",IF(COUNTIF(E39:T39,"PRIMARY")&gt;2,"🔴 3+ PRIMARY 須標 REVIEW",IF(COUNTIF(E39:T39,"PRIMARY")=0,"⚠ 無 PRIMARY","OK"))))))</f>
        <v>OK</v>
      </c>
    </row>
    <row r="40" customFormat="false" ht="30" hidden="false" customHeight="true" outlineLevel="0" collapsed="false">
      <c r="A40" s="24" t="s">
        <v>225</v>
      </c>
      <c r="B40" s="25" t="s">
        <v>210</v>
      </c>
      <c r="C40" s="26" t="s">
        <v>226</v>
      </c>
      <c r="D40" s="24" t="s">
        <v>227</v>
      </c>
      <c r="E40" s="27"/>
      <c r="F40" s="27"/>
      <c r="G40" s="27"/>
      <c r="H40" s="27"/>
      <c r="I40" s="27"/>
      <c r="J40" s="27"/>
      <c r="K40" s="27"/>
      <c r="L40" s="27" t="s">
        <v>31</v>
      </c>
      <c r="M40" s="27" t="s">
        <v>35</v>
      </c>
      <c r="N40" s="27"/>
      <c r="O40" s="27"/>
      <c r="P40" s="27"/>
      <c r="Q40" s="27"/>
      <c r="R40" s="27" t="s">
        <v>33</v>
      </c>
      <c r="S40" s="27"/>
      <c r="T40" s="27"/>
      <c r="U40" s="21" t="n">
        <f aca="false">COUNTA(E40:T40)</f>
        <v>3</v>
      </c>
      <c r="V40" s="21" t="n">
        <f aca="false">COUNTIF(E40:T40,"PRIMARY")</f>
        <v>1</v>
      </c>
      <c r="W40" s="21" t="str">
        <f aca="false">IF(COUNTA(E40:T40)=0,"NOT_FILLED",IF(COUNTIF(E40:T40,"PRIMARY")=0,"⚠ 無 PRIMARY",IF(COUNTIF(E40:T40,"PRIMARY")&gt;1,"雙候選 "&amp;COUNTIF(E40:T40,"PRIMARY")&amp;" 個",INDEX($E$1:$T$1,1,MATCH("PRIMARY",E40:T40,0)))))</f>
        <v>MEDU
Brainstem – Medulla
(NTS / autonomic)</v>
      </c>
      <c r="X40" s="28" t="s">
        <v>94</v>
      </c>
      <c r="Y40" s="28" t="s">
        <v>95</v>
      </c>
      <c r="Z40" s="28"/>
      <c r="AA40" s="28"/>
      <c r="AB40" s="28"/>
      <c r="AC40" s="28" t="str">
        <f aca="false">IF(Y40="Y",IF(OR(Z40="",AA40=""),"🔴 REVIEW 缺理由/處置","ITEM_REVIEW_REQUIRED"),IF(AND($B40="OCULOMOTOR",X40&lt;&gt;"NOT_APPLICABLE",X40&lt;&gt;""),"🔴 OCM 不得側化",IF(AND($B40="DAILY_FUNCTION",COUNTA(E40:S40)&gt;0),"🔴 DFN 不得 localize",IF(COUNTA(E40:T40)=0,"⬜ 未填",IF(COUNTIF(E40:T40,"PRIMARY")&gt;2,"🔴 3+ PRIMARY 須標 REVIEW",IF(COUNTIF(E40:T40,"PRIMARY")=0,"⚠ 無 PRIMARY","OK"))))))</f>
        <v>OK</v>
      </c>
    </row>
    <row r="41" customFormat="false" ht="30" hidden="false" customHeight="true" outlineLevel="0" collapsed="false">
      <c r="A41" s="24" t="s">
        <v>228</v>
      </c>
      <c r="B41" s="25" t="s">
        <v>210</v>
      </c>
      <c r="C41" s="26" t="s">
        <v>229</v>
      </c>
      <c r="D41" s="24" t="s">
        <v>230</v>
      </c>
      <c r="E41" s="27"/>
      <c r="F41" s="27"/>
      <c r="G41" s="27"/>
      <c r="H41" s="27"/>
      <c r="I41" s="27"/>
      <c r="J41" s="27"/>
      <c r="K41" s="27"/>
      <c r="L41" s="27"/>
      <c r="M41" s="27" t="s">
        <v>33</v>
      </c>
      <c r="N41" s="27"/>
      <c r="O41" s="27"/>
      <c r="P41" s="27"/>
      <c r="Q41" s="27"/>
      <c r="R41" s="27" t="s">
        <v>35</v>
      </c>
      <c r="S41" s="27"/>
      <c r="T41" s="27"/>
      <c r="U41" s="21" t="n">
        <f aca="false">COUNTA(E41:T41)</f>
        <v>2</v>
      </c>
      <c r="V41" s="21" t="n">
        <f aca="false">COUNTIF(E41:T41,"PRIMARY")</f>
        <v>1</v>
      </c>
      <c r="W41" s="21" t="str">
        <f aca="false">IF(COUNTA(E41:T41)=0,"NOT_FILLED",IF(COUNTIF(E41:T41,"PRIMARY")=0,"⚠ 無 PRIMARY",IF(COUNTIF(E41:T41,"PRIMARY")&gt;1,"雙候選 "&amp;COUNTIF(E41:T41,"PRIMARY")&amp;" 個",INDEX($E$1:$T$1,1,MATCH("PRIMARY",E41:T41,0)))))</f>
        <v>AUTO
Autonomic
(Symp / Parasymp)</v>
      </c>
      <c r="X41" s="28" t="s">
        <v>94</v>
      </c>
      <c r="Y41" s="28" t="s">
        <v>95</v>
      </c>
      <c r="Z41" s="28"/>
      <c r="AA41" s="28"/>
      <c r="AB41" s="28"/>
      <c r="AC41" s="28" t="str">
        <f aca="false">IF(Y41="Y",IF(OR(Z41="",AA41=""),"🔴 REVIEW 缺理由/處置","ITEM_REVIEW_REQUIRED"),IF(AND($B41="OCULOMOTOR",X41&lt;&gt;"NOT_APPLICABLE",X41&lt;&gt;""),"🔴 OCM 不得側化",IF(AND($B41="DAILY_FUNCTION",COUNTA(E41:S41)&gt;0),"🔴 DFN 不得 localize",IF(COUNTA(E41:T41)=0,"⬜ 未填",IF(COUNTIF(E41:T41,"PRIMARY")&gt;2,"🔴 3+ PRIMARY 須標 REVIEW",IF(COUNTIF(E41:T41,"PRIMARY")=0,"⚠ 無 PRIMARY","OK"))))))</f>
        <v>OK</v>
      </c>
    </row>
    <row r="42" customFormat="false" ht="30" hidden="false" customHeight="true" outlineLevel="0" collapsed="false">
      <c r="A42" s="24" t="s">
        <v>231</v>
      </c>
      <c r="B42" s="25" t="s">
        <v>210</v>
      </c>
      <c r="C42" s="26" t="s">
        <v>232</v>
      </c>
      <c r="D42" s="24" t="s">
        <v>233</v>
      </c>
      <c r="E42" s="27"/>
      <c r="F42" s="27"/>
      <c r="G42" s="27"/>
      <c r="H42" s="27"/>
      <c r="I42" s="27"/>
      <c r="J42" s="27"/>
      <c r="K42" s="27"/>
      <c r="L42" s="27"/>
      <c r="M42" s="27" t="s">
        <v>33</v>
      </c>
      <c r="N42" s="27"/>
      <c r="O42" s="27"/>
      <c r="P42" s="27"/>
      <c r="Q42" s="27"/>
      <c r="R42" s="27" t="s">
        <v>31</v>
      </c>
      <c r="S42" s="27"/>
      <c r="T42" s="27" t="s">
        <v>35</v>
      </c>
      <c r="U42" s="21" t="n">
        <f aca="false">COUNTA(E42:T42)</f>
        <v>3</v>
      </c>
      <c r="V42" s="21" t="n">
        <f aca="false">COUNTIF(E42:T42,"PRIMARY")</f>
        <v>1</v>
      </c>
      <c r="W42" s="21" t="str">
        <f aca="false">IF(COUNTA(E42:T42)=0,"NOT_FILLED",IF(COUNTIF(E42:T42,"PRIMARY")=0,"⚠ 無 PRIMARY",IF(COUNTIF(E42:T42,"PRIMARY")&gt;1,"雙候選 "&amp;COUNTIF(E42:T42,"PRIMARY")&amp;" 個",INDEX($E$1:$T$1,1,MATCH("PRIMARY",E42:T42,0)))))</f>
        <v>NONLOC
NON-LOCALIZING
(impact only)</v>
      </c>
      <c r="X42" s="28" t="s">
        <v>94</v>
      </c>
      <c r="Y42" s="28" t="s">
        <v>137</v>
      </c>
      <c r="Z42" s="28" t="s">
        <v>234</v>
      </c>
      <c r="AA42" s="28" t="s">
        <v>139</v>
      </c>
      <c r="AB42" s="29" t="s">
        <v>235</v>
      </c>
      <c r="AC42" s="28" t="str">
        <f aca="false">IF(Y42="Y",IF(OR(Z42="",AA42=""),"🔴 REVIEW 缺理由/處置","ITEM_REVIEW_REQUIRED"),IF(AND($B42="OCULOMOTOR",X42&lt;&gt;"NOT_APPLICABLE",X42&lt;&gt;""),"🔴 OCM 不得側化",IF(AND($B42="DAILY_FUNCTION",COUNTA(E42:S42)&gt;0),"🔴 DFN 不得 localize",IF(COUNTA(E42:T42)=0,"⬜ 未填",IF(COUNTIF(E42:T42,"PRIMARY")&gt;2,"🔴 3+ PRIMARY 須標 REVIEW",IF(COUNTIF(E42:T42,"PRIMARY")=0,"⚠ 無 PRIMARY","OK"))))))</f>
        <v>ITEM_REVIEW_REQUIRED</v>
      </c>
    </row>
    <row r="43" customFormat="false" ht="30" hidden="false" customHeight="true" outlineLevel="0" collapsed="false">
      <c r="A43" s="24" t="s">
        <v>236</v>
      </c>
      <c r="B43" s="25" t="s">
        <v>237</v>
      </c>
      <c r="C43" s="26" t="s">
        <v>238</v>
      </c>
      <c r="D43" s="24" t="s">
        <v>239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 t="s">
        <v>35</v>
      </c>
      <c r="U43" s="21" t="n">
        <f aca="false">COUNTA(E43:T43)</f>
        <v>1</v>
      </c>
      <c r="V43" s="21" t="n">
        <f aca="false">COUNTIF(E43:T43,"PRIMARY")</f>
        <v>1</v>
      </c>
      <c r="W43" s="21" t="str">
        <f aca="false">IF(COUNTA(E43:T43)=0,"NOT_FILLED",IF(COUNTIF(E43:T43,"PRIMARY")=0,"⚠ 無 PRIMARY",IF(COUNTIF(E43:T43,"PRIMARY")&gt;1,"雙候選 "&amp;COUNTIF(E43:T43,"PRIMARY")&amp;" 個",INDEX($E$1:$T$1,1,MATCH("PRIMARY",E43:T43,0)))))</f>
        <v>NONLOC
NON-LOCALIZING
(impact only)</v>
      </c>
      <c r="X43" s="28" t="s">
        <v>94</v>
      </c>
      <c r="Y43" s="28" t="s">
        <v>95</v>
      </c>
      <c r="Z43" s="28"/>
      <c r="AA43" s="28"/>
      <c r="AB43" s="28" t="s">
        <v>240</v>
      </c>
      <c r="AC43" s="28" t="str">
        <f aca="false">IF(Y43="Y",IF(OR(Z43="",AA43=""),"🔴 REVIEW 缺理由/處置","ITEM_REVIEW_REQUIRED"),IF(AND($B43="OCULOMOTOR",X43&lt;&gt;"NOT_APPLICABLE",X43&lt;&gt;""),"🔴 OCM 不得側化",IF(AND($B43="DAILY_FUNCTION",COUNTA(E43:S43)&gt;0),"🔴 DFN 不得 localize",IF(COUNTA(E43:T43)=0,"⬜ 未填",IF(COUNTIF(E43:T43,"PRIMARY")&gt;2,"🔴 3+ PRIMARY 須標 REVIEW",IF(COUNTIF(E43:T43,"PRIMARY")=0,"⚠ 無 PRIMARY","OK"))))))</f>
        <v>OK</v>
      </c>
    </row>
    <row r="44" customFormat="false" ht="30" hidden="false" customHeight="true" outlineLevel="0" collapsed="false">
      <c r="A44" s="24" t="s">
        <v>241</v>
      </c>
      <c r="B44" s="25" t="s">
        <v>237</v>
      </c>
      <c r="C44" s="26" t="s">
        <v>242</v>
      </c>
      <c r="D44" s="24" t="s">
        <v>243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 t="s">
        <v>35</v>
      </c>
      <c r="U44" s="21" t="n">
        <f aca="false">COUNTA(E44:T44)</f>
        <v>1</v>
      </c>
      <c r="V44" s="21" t="n">
        <f aca="false">COUNTIF(E44:T44,"PRIMARY")</f>
        <v>1</v>
      </c>
      <c r="W44" s="21" t="str">
        <f aca="false">IF(COUNTA(E44:T44)=0,"NOT_FILLED",IF(COUNTIF(E44:T44,"PRIMARY")=0,"⚠ 無 PRIMARY",IF(COUNTIF(E44:T44,"PRIMARY")&gt;1,"雙候選 "&amp;COUNTIF(E44:T44,"PRIMARY")&amp;" 個",INDEX($E$1:$T$1,1,MATCH("PRIMARY",E44:T44,0)))))</f>
        <v>NONLOC
NON-LOCALIZING
(impact only)</v>
      </c>
      <c r="X44" s="28" t="s">
        <v>94</v>
      </c>
      <c r="Y44" s="28" t="s">
        <v>95</v>
      </c>
      <c r="Z44" s="28"/>
      <c r="AA44" s="28"/>
      <c r="AB44" s="28" t="s">
        <v>240</v>
      </c>
      <c r="AC44" s="28" t="str">
        <f aca="false">IF(Y44="Y",IF(OR(Z44="",AA44=""),"🔴 REVIEW 缺理由/處置","ITEM_REVIEW_REQUIRED"),IF(AND($B44="OCULOMOTOR",X44&lt;&gt;"NOT_APPLICABLE",X44&lt;&gt;""),"🔴 OCM 不得側化",IF(AND($B44="DAILY_FUNCTION",COUNTA(E44:S44)&gt;0),"🔴 DFN 不得 localize",IF(COUNTA(E44:T44)=0,"⬜ 未填",IF(COUNTIF(E44:T44,"PRIMARY")&gt;2,"🔴 3+ PRIMARY 須標 REVIEW",IF(COUNTIF(E44:T44,"PRIMARY")=0,"⚠ 無 PRIMARY","OK"))))))</f>
        <v>OK</v>
      </c>
    </row>
    <row r="45" customFormat="false" ht="30" hidden="false" customHeight="true" outlineLevel="0" collapsed="false">
      <c r="A45" s="24" t="s">
        <v>244</v>
      </c>
      <c r="B45" s="25" t="s">
        <v>237</v>
      </c>
      <c r="C45" s="26" t="s">
        <v>245</v>
      </c>
      <c r="D45" s="24" t="s">
        <v>246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 t="s">
        <v>35</v>
      </c>
      <c r="U45" s="21" t="n">
        <f aca="false">COUNTA(E45:T45)</f>
        <v>1</v>
      </c>
      <c r="V45" s="21" t="n">
        <f aca="false">COUNTIF(E45:T45,"PRIMARY")</f>
        <v>1</v>
      </c>
      <c r="W45" s="21" t="str">
        <f aca="false">IF(COUNTA(E45:T45)=0,"NOT_FILLED",IF(COUNTIF(E45:T45,"PRIMARY")=0,"⚠ 無 PRIMARY",IF(COUNTIF(E45:T45,"PRIMARY")&gt;1,"雙候選 "&amp;COUNTIF(E45:T45,"PRIMARY")&amp;" 個",INDEX($E$1:$T$1,1,MATCH("PRIMARY",E45:T45,0)))))</f>
        <v>NONLOC
NON-LOCALIZING
(impact only)</v>
      </c>
      <c r="X45" s="28" t="s">
        <v>94</v>
      </c>
      <c r="Y45" s="28" t="s">
        <v>95</v>
      </c>
      <c r="Z45" s="28"/>
      <c r="AA45" s="28"/>
      <c r="AB45" s="28" t="s">
        <v>240</v>
      </c>
      <c r="AC45" s="28" t="str">
        <f aca="false">IF(Y45="Y",IF(OR(Z45="",AA45=""),"🔴 REVIEW 缺理由/處置","ITEM_REVIEW_REQUIRED"),IF(AND($B45="OCULOMOTOR",X45&lt;&gt;"NOT_APPLICABLE",X45&lt;&gt;""),"🔴 OCM 不得側化",IF(AND($B45="DAILY_FUNCTION",COUNTA(E45:S45)&gt;0),"🔴 DFN 不得 localize",IF(COUNTA(E45:T45)=0,"⬜ 未填",IF(COUNTIF(E45:T45,"PRIMARY")&gt;2,"🔴 3+ PRIMARY 須標 REVIEW",IF(COUNTIF(E45:T45,"PRIMARY")=0,"⚠ 無 PRIMARY","OK"))))))</f>
        <v>OK</v>
      </c>
    </row>
    <row r="46" customFormat="false" ht="30" hidden="false" customHeight="true" outlineLevel="0" collapsed="false">
      <c r="A46" s="24" t="s">
        <v>247</v>
      </c>
      <c r="B46" s="25" t="s">
        <v>237</v>
      </c>
      <c r="C46" s="26" t="s">
        <v>248</v>
      </c>
      <c r="D46" s="24" t="s">
        <v>249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 t="s">
        <v>35</v>
      </c>
      <c r="U46" s="21" t="n">
        <f aca="false">COUNTA(E46:T46)</f>
        <v>1</v>
      </c>
      <c r="V46" s="21" t="n">
        <f aca="false">COUNTIF(E46:T46,"PRIMARY")</f>
        <v>1</v>
      </c>
      <c r="W46" s="21" t="str">
        <f aca="false">IF(COUNTA(E46:T46)=0,"NOT_FILLED",IF(COUNTIF(E46:T46,"PRIMARY")=0,"⚠ 無 PRIMARY",IF(COUNTIF(E46:T46,"PRIMARY")&gt;1,"雙候選 "&amp;COUNTIF(E46:T46,"PRIMARY")&amp;" 個",INDEX($E$1:$T$1,1,MATCH("PRIMARY",E46:T46,0)))))</f>
        <v>NONLOC
NON-LOCALIZING
(impact only)</v>
      </c>
      <c r="X46" s="28" t="s">
        <v>94</v>
      </c>
      <c r="Y46" s="28" t="s">
        <v>95</v>
      </c>
      <c r="Z46" s="28"/>
      <c r="AA46" s="28"/>
      <c r="AB46" s="28" t="s">
        <v>240</v>
      </c>
      <c r="AC46" s="28" t="str">
        <f aca="false">IF(Y46="Y",IF(OR(Z46="",AA46=""),"🔴 REVIEW 缺理由/處置","ITEM_REVIEW_REQUIRED"),IF(AND($B46="OCULOMOTOR",X46&lt;&gt;"NOT_APPLICABLE",X46&lt;&gt;""),"🔴 OCM 不得側化",IF(AND($B46="DAILY_FUNCTION",COUNTA(E46:S46)&gt;0),"🔴 DFN 不得 localize",IF(COUNTA(E46:T46)=0,"⬜ 未填",IF(COUNTIF(E46:T46,"PRIMARY")&gt;2,"🔴 3+ PRIMARY 須標 REVIEW",IF(COUNTIF(E46:T46,"PRIMARY")=0,"⚠ 無 PRIMARY","OK"))))))</f>
        <v>OK</v>
      </c>
    </row>
    <row r="47" customFormat="false" ht="30" hidden="false" customHeight="true" outlineLevel="0" collapsed="false">
      <c r="A47" s="24" t="s">
        <v>250</v>
      </c>
      <c r="B47" s="25" t="s">
        <v>237</v>
      </c>
      <c r="C47" s="26" t="s">
        <v>251</v>
      </c>
      <c r="D47" s="24" t="s">
        <v>252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 t="s">
        <v>35</v>
      </c>
      <c r="U47" s="21" t="n">
        <f aca="false">COUNTA(E47:T47)</f>
        <v>1</v>
      </c>
      <c r="V47" s="21" t="n">
        <f aca="false">COUNTIF(E47:T47,"PRIMARY")</f>
        <v>1</v>
      </c>
      <c r="W47" s="21" t="str">
        <f aca="false">IF(COUNTA(E47:T47)=0,"NOT_FILLED",IF(COUNTIF(E47:T47,"PRIMARY")=0,"⚠ 無 PRIMARY",IF(COUNTIF(E47:T47,"PRIMARY")&gt;1,"雙候選 "&amp;COUNTIF(E47:T47,"PRIMARY")&amp;" 個",INDEX($E$1:$T$1,1,MATCH("PRIMARY",E47:T47,0)))))</f>
        <v>NONLOC
NON-LOCALIZING
(impact only)</v>
      </c>
      <c r="X47" s="28" t="s">
        <v>94</v>
      </c>
      <c r="Y47" s="28" t="s">
        <v>95</v>
      </c>
      <c r="Z47" s="28"/>
      <c r="AA47" s="28"/>
      <c r="AB47" s="28" t="s">
        <v>240</v>
      </c>
      <c r="AC47" s="28" t="str">
        <f aca="false">IF(Y47="Y",IF(OR(Z47="",AA47=""),"🔴 REVIEW 缺理由/處置","ITEM_REVIEW_REQUIRED"),IF(AND($B47="OCULOMOTOR",X47&lt;&gt;"NOT_APPLICABLE",X47&lt;&gt;""),"🔴 OCM 不得側化",IF(AND($B47="DAILY_FUNCTION",COUNTA(E47:S47)&gt;0),"🔴 DFN 不得 localize",IF(COUNTA(E47:T47)=0,"⬜ 未填",IF(COUNTIF(E47:T47,"PRIMARY")&gt;2,"🔴 3+ PRIMARY 須標 REVIEW",IF(COUNTIF(E47:T47,"PRIMARY")=0,"⚠ 無 PRIMARY","OK"))))))</f>
        <v>OK</v>
      </c>
    </row>
    <row r="48" customFormat="false" ht="30" hidden="false" customHeight="true" outlineLevel="0" collapsed="false">
      <c r="A48" s="24" t="s">
        <v>253</v>
      </c>
      <c r="B48" s="25" t="s">
        <v>237</v>
      </c>
      <c r="C48" s="26" t="s">
        <v>254</v>
      </c>
      <c r="D48" s="24" t="s">
        <v>255</v>
      </c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 t="s">
        <v>35</v>
      </c>
      <c r="U48" s="21" t="n">
        <f aca="false">COUNTA(E48:T48)</f>
        <v>1</v>
      </c>
      <c r="V48" s="21" t="n">
        <f aca="false">COUNTIF(E48:T48,"PRIMARY")</f>
        <v>1</v>
      </c>
      <c r="W48" s="21" t="str">
        <f aca="false">IF(COUNTA(E48:T48)=0,"NOT_FILLED",IF(COUNTIF(E48:T48,"PRIMARY")=0,"⚠ 無 PRIMARY",IF(COUNTIF(E48:T48,"PRIMARY")&gt;1,"雙候選 "&amp;COUNTIF(E48:T48,"PRIMARY")&amp;" 個",INDEX($E$1:$T$1,1,MATCH("PRIMARY",E48:T48,0)))))</f>
        <v>NONLOC
NON-LOCALIZING
(impact only)</v>
      </c>
      <c r="X48" s="28" t="s">
        <v>94</v>
      </c>
      <c r="Y48" s="28" t="s">
        <v>95</v>
      </c>
      <c r="Z48" s="28"/>
      <c r="AA48" s="28"/>
      <c r="AB48" s="28" t="s">
        <v>240</v>
      </c>
      <c r="AC48" s="28" t="str">
        <f aca="false">IF(Y48="Y",IF(OR(Z48="",AA48=""),"🔴 REVIEW 缺理由/處置","ITEM_REVIEW_REQUIRED"),IF(AND($B48="OCULOMOTOR",X48&lt;&gt;"NOT_APPLICABLE",X48&lt;&gt;""),"🔴 OCM 不得側化",IF(AND($B48="DAILY_FUNCTION",COUNTA(E48:S48)&gt;0),"🔴 DFN 不得 localize",IF(COUNTA(E48:T48)=0,"⬜ 未填",IF(COUNTIF(E48:T48,"PRIMARY")&gt;2,"🔴 3+ PRIMARY 須標 REVIEW",IF(COUNTIF(E48:T48,"PRIMARY")=0,"⚠ 無 PRIMARY","OK"))))))</f>
        <v>OK</v>
      </c>
    </row>
    <row r="49" customFormat="false" ht="30" hidden="false" customHeight="true" outlineLevel="0" collapsed="false">
      <c r="A49" s="24" t="s">
        <v>256</v>
      </c>
      <c r="B49" s="25" t="s">
        <v>237</v>
      </c>
      <c r="C49" s="26" t="s">
        <v>257</v>
      </c>
      <c r="D49" s="24" t="s">
        <v>258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 t="s">
        <v>35</v>
      </c>
      <c r="U49" s="21" t="n">
        <f aca="false">COUNTA(E49:T49)</f>
        <v>1</v>
      </c>
      <c r="V49" s="21" t="n">
        <f aca="false">COUNTIF(E49:T49,"PRIMARY")</f>
        <v>1</v>
      </c>
      <c r="W49" s="21" t="str">
        <f aca="false">IF(COUNTA(E49:T49)=0,"NOT_FILLED",IF(COUNTIF(E49:T49,"PRIMARY")=0,"⚠ 無 PRIMARY",IF(COUNTIF(E49:T49,"PRIMARY")&gt;1,"雙候選 "&amp;COUNTIF(E49:T49,"PRIMARY")&amp;" 個",INDEX($E$1:$T$1,1,MATCH("PRIMARY",E49:T49,0)))))</f>
        <v>NONLOC
NON-LOCALIZING
(impact only)</v>
      </c>
      <c r="X49" s="28" t="s">
        <v>94</v>
      </c>
      <c r="Y49" s="28" t="s">
        <v>95</v>
      </c>
      <c r="Z49" s="28"/>
      <c r="AA49" s="28"/>
      <c r="AB49" s="28" t="s">
        <v>240</v>
      </c>
      <c r="AC49" s="28" t="str">
        <f aca="false">IF(Y49="Y",IF(OR(Z49="",AA49=""),"🔴 REVIEW 缺理由/處置","ITEM_REVIEW_REQUIRED"),IF(AND($B49="OCULOMOTOR",X49&lt;&gt;"NOT_APPLICABLE",X49&lt;&gt;""),"🔴 OCM 不得側化",IF(AND($B49="DAILY_FUNCTION",COUNTA(E49:S49)&gt;0),"🔴 DFN 不得 localize",IF(COUNTA(E49:T49)=0,"⬜ 未填",IF(COUNTIF(E49:T49,"PRIMARY")&gt;2,"🔴 3+ PRIMARY 須標 REVIEW",IF(COUNTIF(E49:T49,"PRIMARY")=0,"⚠ 無 PRIMARY","OK"))))))</f>
        <v>OK</v>
      </c>
    </row>
    <row r="50" customFormat="false" ht="30" hidden="false" customHeight="true" outlineLevel="0" collapsed="false">
      <c r="A50" s="24" t="s">
        <v>259</v>
      </c>
      <c r="B50" s="25" t="s">
        <v>237</v>
      </c>
      <c r="C50" s="26" t="s">
        <v>260</v>
      </c>
      <c r="D50" s="24" t="s">
        <v>261</v>
      </c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 t="s">
        <v>35</v>
      </c>
      <c r="U50" s="21" t="n">
        <f aca="false">COUNTA(E50:T50)</f>
        <v>1</v>
      </c>
      <c r="V50" s="21" t="n">
        <f aca="false">COUNTIF(E50:T50,"PRIMARY")</f>
        <v>1</v>
      </c>
      <c r="W50" s="21" t="str">
        <f aca="false">IF(COUNTA(E50:T50)=0,"NOT_FILLED",IF(COUNTIF(E50:T50,"PRIMARY")=0,"⚠ 無 PRIMARY",IF(COUNTIF(E50:T50,"PRIMARY")&gt;1,"雙候選 "&amp;COUNTIF(E50:T50,"PRIMARY")&amp;" 個",INDEX($E$1:$T$1,1,MATCH("PRIMARY",E50:T50,0)))))</f>
        <v>NONLOC
NON-LOCALIZING
(impact only)</v>
      </c>
      <c r="X50" s="28" t="s">
        <v>94</v>
      </c>
      <c r="Y50" s="28" t="s">
        <v>95</v>
      </c>
      <c r="Z50" s="28"/>
      <c r="AA50" s="28"/>
      <c r="AB50" s="28" t="s">
        <v>240</v>
      </c>
      <c r="AC50" s="28" t="str">
        <f aca="false">IF(Y50="Y",IF(OR(Z50="",AA50=""),"🔴 REVIEW 缺理由/處置","ITEM_REVIEW_REQUIRED"),IF(AND($B50="OCULOMOTOR",X50&lt;&gt;"NOT_APPLICABLE",X50&lt;&gt;""),"🔴 OCM 不得側化",IF(AND($B50="DAILY_FUNCTION",COUNTA(E50:S50)&gt;0),"🔴 DFN 不得 localize",IF(COUNTA(E50:T50)=0,"⬜ 未填",IF(COUNTIF(E50:T50,"PRIMARY")&gt;2,"🔴 3+ PRIMARY 須標 REVIEW",IF(COUNTIF(E50:T50,"PRIMARY")=0,"⚠ 無 PRIMARY","OK"))))))</f>
        <v>OK</v>
      </c>
    </row>
    <row r="52" customFormat="false" ht="15" hidden="false" customHeight="true" outlineLevel="0" collapsed="false">
      <c r="A52" s="30" t="s">
        <v>262</v>
      </c>
    </row>
    <row r="53" customFormat="false" ht="15" hidden="false" customHeight="true" outlineLevel="0" collapsed="false">
      <c r="A53" s="31" t="s">
        <v>263</v>
      </c>
      <c r="B53" s="32" t="n">
        <f aca="false">COUNTA($A$3:$A$50)</f>
        <v>48</v>
      </c>
    </row>
    <row r="54" customFormat="false" ht="15" hidden="false" customHeight="true" outlineLevel="0" collapsed="false">
      <c r="A54" s="31" t="s">
        <v>264</v>
      </c>
      <c r="B54" s="32" t="n">
        <f aca="false">COUNTIF(U3:U50,"&gt;0")</f>
        <v>48</v>
      </c>
    </row>
    <row r="55" customFormat="false" ht="15" hidden="false" customHeight="true" outlineLevel="0" collapsed="false">
      <c r="A55" s="31" t="s">
        <v>265</v>
      </c>
      <c r="B55" s="32" t="n">
        <f aca="false">COUNTIF(W3:W50,"NOT_FILLED")</f>
        <v>0</v>
      </c>
    </row>
    <row r="56" customFormat="false" ht="15" hidden="false" customHeight="true" outlineLevel="0" collapsed="false">
      <c r="A56" s="31" t="s">
        <v>266</v>
      </c>
      <c r="B56" s="32" t="n">
        <f aca="false">COUNTIF(W3:W50,"⚠ 無 PRIMARY")</f>
        <v>0</v>
      </c>
    </row>
    <row r="57" customFormat="false" ht="15" hidden="false" customHeight="true" outlineLevel="0" collapsed="false">
      <c r="A57" s="31" t="s">
        <v>267</v>
      </c>
      <c r="B57" s="32" t="n">
        <f aca="false">COUNTIF(V3:V50,2)</f>
        <v>7</v>
      </c>
    </row>
    <row r="58" customFormat="false" ht="15" hidden="false" customHeight="true" outlineLevel="0" collapsed="false">
      <c r="A58" s="31" t="s">
        <v>268</v>
      </c>
      <c r="B58" s="33" t="n">
        <f aca="false">IFERROR(COUNTIF(U3:U50,"&gt;0")/COUNTA($A$3:$A$50),0)</f>
        <v>1</v>
      </c>
    </row>
    <row r="59" customFormat="false" ht="15" hidden="false" customHeight="true" outlineLevel="0" collapsed="false">
      <c r="A59" s="31" t="s">
        <v>269</v>
      </c>
      <c r="B59" s="32" t="n">
        <f aca="false">COUNTIF(X3:X50,"Y")</f>
        <v>0</v>
      </c>
    </row>
    <row r="60" customFormat="false" ht="15" hidden="false" customHeight="true" outlineLevel="0" collapsed="false">
      <c r="A60" s="34" t="s">
        <v>270</v>
      </c>
      <c r="B60" s="35" t="n">
        <f aca="false">COUNTIF(AC3:AC50,"⬜ 未填")</f>
        <v>0</v>
      </c>
    </row>
    <row r="61" customFormat="false" ht="15" hidden="false" customHeight="true" outlineLevel="0" collapsed="false">
      <c r="A61" s="34" t="s">
        <v>271</v>
      </c>
      <c r="B61" s="35" t="n">
        <f aca="false">COUNTIF(AC3:AC50,"🔴 3+ PRIMARY*")</f>
        <v>0</v>
      </c>
    </row>
    <row r="62" customFormat="false" ht="15" hidden="false" customHeight="true" outlineLevel="0" collapsed="false">
      <c r="A62" s="34" t="s">
        <v>272</v>
      </c>
      <c r="B62" s="35" t="n">
        <f aca="false">COUNTIF(AC3:AC50,"🔴 REVIEW 缺*")</f>
        <v>0</v>
      </c>
    </row>
    <row r="63" customFormat="false" ht="15" hidden="false" customHeight="true" outlineLevel="0" collapsed="false">
      <c r="A63" s="34" t="s">
        <v>273</v>
      </c>
      <c r="B63" s="35" t="n">
        <f aca="false">COUNTIF(AC3:AC50,"🔴 OCM 不得側化")</f>
        <v>0</v>
      </c>
    </row>
    <row r="64" customFormat="false" ht="15" hidden="false" customHeight="true" outlineLevel="0" collapsed="false">
      <c r="A64" s="34" t="s">
        <v>274</v>
      </c>
      <c r="B64" s="35" t="n">
        <f aca="false">COUNTIF(AC3:AC50,"🔴 DFN 不得 localize")</f>
        <v>0</v>
      </c>
    </row>
    <row r="65" customFormat="false" ht="15" hidden="false" customHeight="true" outlineLevel="0" collapsed="false">
      <c r="A65" s="31" t="s">
        <v>275</v>
      </c>
      <c r="B65" s="32" t="n">
        <f aca="false">COUNTIF(AC3:AC50,"ITEM_REVIEW_REQUIRED")</f>
        <v>4</v>
      </c>
    </row>
    <row r="66" customFormat="false" ht="15" hidden="false" customHeight="true" outlineLevel="0" collapsed="false">
      <c r="A66" s="31" t="s">
        <v>276</v>
      </c>
      <c r="B66" s="32" t="n">
        <f aca="false">COUNTIF(AC3:AC50,"OK")</f>
        <v>44</v>
      </c>
    </row>
    <row r="68" customFormat="false" ht="15" hidden="false" customHeight="true" outlineLevel="0" collapsed="false">
      <c r="A68" s="36" t="s">
        <v>277</v>
      </c>
    </row>
  </sheetData>
  <dataValidations count="5">
    <dataValidation allowBlank="true" error="只能填 PRIMARY / SECONDARY / SUPPORTIVE / NONE，或留空。" errorStyle="stop" errorTitle="關聯層級" operator="between" showDropDown="false" showErrorMessage="true" showInputMessage="false" sqref="E2:T50" type="list">
      <formula1>"PRIMARY,SECONDARY,SUPPORTIVE,NONE"</formula1>
      <formula2>0</formula2>
    </dataValidation>
    <dataValidation allowBlank="true" errorStyle="stop" operator="between" showDropDown="false" showErrorMessage="true" showInputMessage="false" sqref="X2:X50" type="list">
      <formula1>"NOT_APPLICABLE,REQUIRES_OBJECTIVE_CONFIRMATION,CLINICIAN_OBSERVED_ONLY"</formula1>
      <formula2>0</formula2>
    </dataValidation>
    <dataValidation allowBlank="true" errorStyle="stop" operator="between" showDropDown="false" showErrorMessage="true" showInputMessage="false" sqref="Y2:Y50" type="list">
      <formula1>"Y,N"</formula1>
      <formula2>0</formula2>
    </dataValidation>
    <dataValidation allowBlank="true" errorStyle="stop" operator="between" showDropDown="false" showErrorMessage="true" showInputMessage="false" sqref="Z2:Z50" type="list">
      <formula1>"TOO_BROAD,DOUBLE_BARRELED,NON_LOCALIZING,REQUIRES_OBJECTIVE_TEST,LATERALITY_NOT_SELF_REPORTABLE,DUPLICATE_CONSTRUCT,OUT_OF_SCOPE"</formula1>
      <formula2>0</formula2>
    </dataValidation>
    <dataValidation allowBlank="true" errorStyle="stop" operator="between" showDropDown="false" showErrorMessage="true" showInputMessage="false" sqref="AA2:AA50" type="list">
      <formula1>"KEEP_AS_NON_LOCALIZING,REWRITE,SPLIT,REMOVE,MOVE_TO_CLINICAL_FLAG,MOVE_TO_OUTCOME"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8"/>
    <col collapsed="false" customWidth="true" hidden="false" outlineLevel="0" max="3" min="3" style="1" width="20"/>
    <col collapsed="false" customWidth="true" hidden="false" outlineLevel="0" max="4" min="4" style="1" width="44"/>
    <col collapsed="false" customWidth="true" hidden="false" outlineLevel="0" max="5" min="5" style="1" width="22"/>
    <col collapsed="false" customWidth="true" hidden="false" outlineLevel="0" max="6" min="6" style="1" width="40"/>
  </cols>
  <sheetData>
    <row r="1" customFormat="false" ht="30" hidden="false" customHeight="true" outlineLevel="0" collapsed="false">
      <c r="A1" s="16" t="s">
        <v>61</v>
      </c>
      <c r="B1" s="16" t="s">
        <v>278</v>
      </c>
      <c r="C1" s="16" t="s">
        <v>279</v>
      </c>
      <c r="D1" s="17" t="s">
        <v>63</v>
      </c>
      <c r="E1" s="17" t="s">
        <v>280</v>
      </c>
      <c r="F1" s="17" t="s">
        <v>281</v>
      </c>
    </row>
    <row r="2" customFormat="false" ht="15" hidden="false" customHeight="true" outlineLevel="0" collapsed="false">
      <c r="A2" s="37" t="s">
        <v>282</v>
      </c>
      <c r="B2" s="37" t="s">
        <v>283</v>
      </c>
      <c r="C2" s="37" t="s">
        <v>284</v>
      </c>
      <c r="D2" s="38" t="s">
        <v>285</v>
      </c>
      <c r="E2" s="37" t="s">
        <v>286</v>
      </c>
      <c r="F2" s="37" t="s">
        <v>287</v>
      </c>
    </row>
    <row r="3" customFormat="false" ht="15" hidden="false" customHeight="true" outlineLevel="0" collapsed="false">
      <c r="A3" s="37" t="s">
        <v>288</v>
      </c>
      <c r="B3" s="37" t="s">
        <v>283</v>
      </c>
      <c r="C3" s="37" t="s">
        <v>284</v>
      </c>
      <c r="D3" s="38" t="s">
        <v>289</v>
      </c>
      <c r="E3" s="37" t="s">
        <v>286</v>
      </c>
      <c r="F3" s="37" t="s">
        <v>290</v>
      </c>
    </row>
    <row r="4" customFormat="false" ht="15" hidden="false" customHeight="true" outlineLevel="0" collapsed="false">
      <c r="A4" s="37" t="s">
        <v>291</v>
      </c>
      <c r="B4" s="37" t="s">
        <v>283</v>
      </c>
      <c r="C4" s="37" t="s">
        <v>284</v>
      </c>
      <c r="D4" s="38" t="s">
        <v>292</v>
      </c>
      <c r="E4" s="37" t="s">
        <v>286</v>
      </c>
      <c r="F4" s="37" t="s">
        <v>290</v>
      </c>
    </row>
    <row r="5" customFormat="false" ht="15" hidden="false" customHeight="true" outlineLevel="0" collapsed="false">
      <c r="A5" s="37" t="s">
        <v>293</v>
      </c>
      <c r="B5" s="37" t="s">
        <v>283</v>
      </c>
      <c r="C5" s="37" t="s">
        <v>284</v>
      </c>
      <c r="D5" s="37" t="s">
        <v>294</v>
      </c>
      <c r="E5" s="37" t="s">
        <v>286</v>
      </c>
      <c r="F5" s="37" t="s">
        <v>290</v>
      </c>
    </row>
    <row r="6" customFormat="false" ht="15" hidden="false" customHeight="true" outlineLevel="0" collapsed="false">
      <c r="A6" s="37" t="s">
        <v>295</v>
      </c>
      <c r="B6" s="37" t="s">
        <v>283</v>
      </c>
      <c r="C6" s="37" t="s">
        <v>284</v>
      </c>
      <c r="D6" s="38" t="s">
        <v>296</v>
      </c>
      <c r="E6" s="37" t="s">
        <v>286</v>
      </c>
      <c r="F6" s="37" t="s">
        <v>290</v>
      </c>
    </row>
    <row r="7" customFormat="false" ht="15" hidden="false" customHeight="true" outlineLevel="0" collapsed="false">
      <c r="A7" s="37" t="s">
        <v>297</v>
      </c>
      <c r="B7" s="37" t="s">
        <v>283</v>
      </c>
      <c r="C7" s="37" t="s">
        <v>284</v>
      </c>
      <c r="D7" s="38" t="s">
        <v>298</v>
      </c>
      <c r="E7" s="37" t="s">
        <v>286</v>
      </c>
      <c r="F7" s="37" t="s">
        <v>290</v>
      </c>
    </row>
    <row r="8" customFormat="false" ht="15" hidden="false" customHeight="true" outlineLevel="0" collapsed="false">
      <c r="A8" s="37" t="s">
        <v>299</v>
      </c>
      <c r="B8" s="37" t="s">
        <v>283</v>
      </c>
      <c r="C8" s="37" t="s">
        <v>300</v>
      </c>
      <c r="D8" s="38" t="s">
        <v>301</v>
      </c>
      <c r="E8" s="37" t="s">
        <v>302</v>
      </c>
      <c r="F8" s="37" t="s">
        <v>303</v>
      </c>
    </row>
    <row r="9" customFormat="false" ht="15" hidden="false" customHeight="true" outlineLevel="0" collapsed="false">
      <c r="A9" s="37" t="s">
        <v>304</v>
      </c>
      <c r="B9" s="37" t="s">
        <v>283</v>
      </c>
      <c r="C9" s="37" t="s">
        <v>300</v>
      </c>
      <c r="D9" s="38" t="s">
        <v>305</v>
      </c>
      <c r="E9" s="37" t="s">
        <v>302</v>
      </c>
      <c r="F9" s="37" t="s">
        <v>303</v>
      </c>
    </row>
    <row r="10" customFormat="false" ht="15" hidden="false" customHeight="true" outlineLevel="0" collapsed="false">
      <c r="A10" s="37" t="s">
        <v>306</v>
      </c>
      <c r="B10" s="37" t="s">
        <v>283</v>
      </c>
      <c r="C10" s="37" t="s">
        <v>300</v>
      </c>
      <c r="D10" s="38" t="s">
        <v>307</v>
      </c>
      <c r="E10" s="37" t="s">
        <v>302</v>
      </c>
      <c r="F10" s="37" t="s">
        <v>303</v>
      </c>
    </row>
    <row r="11" customFormat="false" ht="15" hidden="false" customHeight="true" outlineLevel="0" collapsed="false">
      <c r="A11" s="37" t="s">
        <v>308</v>
      </c>
      <c r="B11" s="37" t="s">
        <v>283</v>
      </c>
      <c r="C11" s="37" t="s">
        <v>309</v>
      </c>
      <c r="D11" s="38" t="s">
        <v>310</v>
      </c>
      <c r="E11" s="37" t="s">
        <v>302</v>
      </c>
      <c r="F11" s="37" t="s">
        <v>303</v>
      </c>
    </row>
    <row r="12" customFormat="false" ht="15" hidden="false" customHeight="true" outlineLevel="0" collapsed="false">
      <c r="A12" s="37" t="s">
        <v>311</v>
      </c>
      <c r="B12" s="37" t="s">
        <v>283</v>
      </c>
      <c r="C12" s="37" t="s">
        <v>309</v>
      </c>
      <c r="D12" s="38" t="s">
        <v>312</v>
      </c>
      <c r="E12" s="37" t="s">
        <v>302</v>
      </c>
      <c r="F12" s="37" t="s">
        <v>303</v>
      </c>
    </row>
    <row r="13" customFormat="false" ht="15" hidden="false" customHeight="true" outlineLevel="0" collapsed="false">
      <c r="A13" s="37" t="s">
        <v>313</v>
      </c>
      <c r="B13" s="37" t="s">
        <v>283</v>
      </c>
      <c r="C13" s="37" t="s">
        <v>314</v>
      </c>
      <c r="D13" s="38" t="s">
        <v>315</v>
      </c>
      <c r="E13" s="37" t="s">
        <v>302</v>
      </c>
      <c r="F13" s="37" t="s">
        <v>303</v>
      </c>
    </row>
    <row r="14" customFormat="false" ht="15" hidden="false" customHeight="true" outlineLevel="0" collapsed="false">
      <c r="A14" s="37" t="s">
        <v>316</v>
      </c>
      <c r="B14" s="37" t="s">
        <v>283</v>
      </c>
      <c r="C14" s="37" t="s">
        <v>317</v>
      </c>
      <c r="D14" s="38" t="s">
        <v>318</v>
      </c>
      <c r="E14" s="37" t="s">
        <v>302</v>
      </c>
      <c r="F14" s="37" t="s">
        <v>303</v>
      </c>
    </row>
    <row r="15" customFormat="false" ht="15" hidden="false" customHeight="true" outlineLevel="0" collapsed="false">
      <c r="A15" s="37" t="s">
        <v>319</v>
      </c>
      <c r="B15" s="37" t="s">
        <v>283</v>
      </c>
      <c r="C15" s="37" t="s">
        <v>320</v>
      </c>
      <c r="D15" s="38" t="s">
        <v>321</v>
      </c>
      <c r="E15" s="37" t="s">
        <v>302</v>
      </c>
      <c r="F15" s="39" t="s">
        <v>322</v>
      </c>
    </row>
    <row r="16" customFormat="false" ht="15" hidden="false" customHeight="true" outlineLevel="0" collapsed="false">
      <c r="A16" s="37" t="s">
        <v>323</v>
      </c>
      <c r="B16" s="37" t="s">
        <v>283</v>
      </c>
      <c r="C16" s="37" t="s">
        <v>320</v>
      </c>
      <c r="D16" s="38" t="s">
        <v>324</v>
      </c>
      <c r="E16" s="37" t="s">
        <v>302</v>
      </c>
      <c r="F16" s="37" t="s">
        <v>303</v>
      </c>
    </row>
    <row r="17" customFormat="false" ht="26.25" hidden="false" customHeight="true" outlineLevel="0" collapsed="false">
      <c r="A17" s="37" t="s">
        <v>325</v>
      </c>
      <c r="B17" s="37" t="s">
        <v>283</v>
      </c>
      <c r="C17" s="37" t="s">
        <v>326</v>
      </c>
      <c r="D17" s="38" t="s">
        <v>327</v>
      </c>
      <c r="E17" s="37" t="s">
        <v>302</v>
      </c>
      <c r="F17" s="39" t="s">
        <v>328</v>
      </c>
    </row>
    <row r="18" customFormat="false" ht="15" hidden="false" customHeight="true" outlineLevel="0" collapsed="false">
      <c r="A18" s="37" t="s">
        <v>329</v>
      </c>
      <c r="B18" s="37" t="s">
        <v>283</v>
      </c>
      <c r="C18" s="37" t="s">
        <v>320</v>
      </c>
      <c r="D18" s="38" t="s">
        <v>330</v>
      </c>
      <c r="E18" s="37" t="s">
        <v>302</v>
      </c>
      <c r="F18" s="37" t="s">
        <v>303</v>
      </c>
    </row>
    <row r="19" customFormat="false" ht="15" hidden="false" customHeight="true" outlineLevel="0" collapsed="false">
      <c r="A19" s="37" t="s">
        <v>331</v>
      </c>
      <c r="B19" s="37" t="s">
        <v>283</v>
      </c>
      <c r="C19" s="37" t="s">
        <v>332</v>
      </c>
      <c r="D19" s="38" t="s">
        <v>333</v>
      </c>
      <c r="E19" s="37" t="s">
        <v>302</v>
      </c>
      <c r="F19" s="39" t="s">
        <v>334</v>
      </c>
    </row>
    <row r="20" customFormat="false" ht="15" hidden="false" customHeight="true" outlineLevel="0" collapsed="false">
      <c r="A20" s="37" t="s">
        <v>335</v>
      </c>
      <c r="B20" s="37" t="s">
        <v>336</v>
      </c>
      <c r="C20" s="37" t="s">
        <v>337</v>
      </c>
      <c r="D20" s="38" t="s">
        <v>338</v>
      </c>
      <c r="E20" s="37" t="s">
        <v>339</v>
      </c>
      <c r="F20" s="37" t="s">
        <v>340</v>
      </c>
    </row>
    <row r="21" customFormat="false" ht="15" hidden="false" customHeight="true" outlineLevel="0" collapsed="false">
      <c r="A21" s="37" t="s">
        <v>341</v>
      </c>
      <c r="B21" s="37" t="s">
        <v>336</v>
      </c>
      <c r="C21" s="37" t="s">
        <v>337</v>
      </c>
      <c r="D21" s="38" t="s">
        <v>342</v>
      </c>
      <c r="E21" s="37" t="s">
        <v>339</v>
      </c>
      <c r="F21" s="37" t="s">
        <v>343</v>
      </c>
    </row>
    <row r="22" customFormat="false" ht="15" hidden="false" customHeight="true" outlineLevel="0" collapsed="false">
      <c r="A22" s="37" t="s">
        <v>344</v>
      </c>
      <c r="B22" s="37" t="s">
        <v>336</v>
      </c>
      <c r="C22" s="37" t="s">
        <v>337</v>
      </c>
      <c r="D22" s="38" t="s">
        <v>345</v>
      </c>
      <c r="E22" s="37" t="s">
        <v>339</v>
      </c>
      <c r="F22" s="37" t="s">
        <v>346</v>
      </c>
    </row>
    <row r="23" customFormat="false" ht="15" hidden="false" customHeight="true" outlineLevel="0" collapsed="false">
      <c r="A23" s="37" t="s">
        <v>347</v>
      </c>
      <c r="B23" s="37" t="s">
        <v>336</v>
      </c>
      <c r="C23" s="37" t="s">
        <v>348</v>
      </c>
      <c r="D23" s="38" t="s">
        <v>349</v>
      </c>
      <c r="E23" s="37" t="s">
        <v>350</v>
      </c>
      <c r="F23" s="37" t="s">
        <v>351</v>
      </c>
    </row>
    <row r="24" customFormat="false" ht="15" hidden="false" customHeight="true" outlineLevel="0" collapsed="false">
      <c r="A24" s="37" t="s">
        <v>352</v>
      </c>
      <c r="B24" s="37" t="s">
        <v>336</v>
      </c>
      <c r="C24" s="37" t="s">
        <v>348</v>
      </c>
      <c r="D24" s="38" t="s">
        <v>353</v>
      </c>
      <c r="E24" s="37" t="s">
        <v>350</v>
      </c>
      <c r="F24" s="40" t="s">
        <v>354</v>
      </c>
    </row>
    <row r="25" customFormat="false" ht="15" hidden="false" customHeight="true" outlineLevel="0" collapsed="false">
      <c r="A25" s="37" t="s">
        <v>355</v>
      </c>
      <c r="B25" s="37" t="s">
        <v>336</v>
      </c>
      <c r="C25" s="37" t="s">
        <v>348</v>
      </c>
      <c r="D25" s="38" t="s">
        <v>356</v>
      </c>
      <c r="E25" s="37" t="s">
        <v>339</v>
      </c>
      <c r="F25" s="37" t="s">
        <v>343</v>
      </c>
    </row>
    <row r="26" customFormat="false" ht="15" hidden="false" customHeight="true" outlineLevel="0" collapsed="false">
      <c r="A26" s="37" t="s">
        <v>357</v>
      </c>
      <c r="B26" s="37" t="s">
        <v>336</v>
      </c>
      <c r="C26" s="37" t="s">
        <v>358</v>
      </c>
      <c r="D26" s="38" t="s">
        <v>359</v>
      </c>
      <c r="E26" s="37" t="s">
        <v>360</v>
      </c>
      <c r="F26" s="37" t="s">
        <v>361</v>
      </c>
    </row>
    <row r="27" customFormat="false" ht="15" hidden="false" customHeight="true" outlineLevel="0" collapsed="false">
      <c r="A27" s="37" t="s">
        <v>362</v>
      </c>
      <c r="B27" s="37" t="s">
        <v>336</v>
      </c>
      <c r="C27" s="37" t="s">
        <v>358</v>
      </c>
      <c r="D27" s="38" t="s">
        <v>363</v>
      </c>
      <c r="E27" s="37" t="s">
        <v>360</v>
      </c>
      <c r="F27" s="37" t="s">
        <v>290</v>
      </c>
    </row>
    <row r="28" customFormat="false" ht="15" hidden="false" customHeight="true" outlineLevel="0" collapsed="false">
      <c r="A28" s="37" t="s">
        <v>364</v>
      </c>
      <c r="B28" s="37" t="s">
        <v>336</v>
      </c>
      <c r="C28" s="37" t="s">
        <v>358</v>
      </c>
      <c r="D28" s="38" t="s">
        <v>365</v>
      </c>
      <c r="E28" s="37" t="s">
        <v>360</v>
      </c>
      <c r="F28" s="39" t="s">
        <v>366</v>
      </c>
    </row>
    <row r="29" customFormat="false" ht="15" hidden="false" customHeight="true" outlineLevel="0" collapsed="false">
      <c r="A29" s="37" t="s">
        <v>367</v>
      </c>
      <c r="B29" s="37" t="s">
        <v>336</v>
      </c>
      <c r="C29" s="37" t="s">
        <v>368</v>
      </c>
      <c r="D29" s="38" t="s">
        <v>369</v>
      </c>
      <c r="E29" s="38" t="s">
        <v>370</v>
      </c>
      <c r="F29" s="37" t="s">
        <v>371</v>
      </c>
    </row>
    <row r="30" customFormat="false" ht="15" hidden="false" customHeight="true" outlineLevel="0" collapsed="false">
      <c r="A30" s="37" t="s">
        <v>372</v>
      </c>
      <c r="B30" s="37" t="s">
        <v>336</v>
      </c>
      <c r="C30" s="37" t="s">
        <v>368</v>
      </c>
      <c r="D30" s="38" t="s">
        <v>373</v>
      </c>
      <c r="E30" s="38" t="s">
        <v>374</v>
      </c>
      <c r="F30" s="37" t="s">
        <v>375</v>
      </c>
    </row>
    <row r="31" customFormat="false" ht="15" hidden="false" customHeight="true" outlineLevel="0" collapsed="false">
      <c r="A31" s="37" t="s">
        <v>376</v>
      </c>
      <c r="B31" s="37" t="s">
        <v>336</v>
      </c>
      <c r="C31" s="37" t="s">
        <v>377</v>
      </c>
      <c r="D31" s="38" t="s">
        <v>378</v>
      </c>
      <c r="E31" s="37" t="s">
        <v>339</v>
      </c>
      <c r="F31" s="37" t="s">
        <v>379</v>
      </c>
    </row>
    <row r="32" customFormat="false" ht="15" hidden="false" customHeight="true" outlineLevel="0" collapsed="false">
      <c r="A32" s="37" t="s">
        <v>380</v>
      </c>
      <c r="B32" s="37" t="s">
        <v>336</v>
      </c>
      <c r="C32" s="37" t="s">
        <v>377</v>
      </c>
      <c r="D32" s="38" t="s">
        <v>381</v>
      </c>
      <c r="E32" s="37" t="s">
        <v>382</v>
      </c>
      <c r="F32" s="37" t="s">
        <v>379</v>
      </c>
    </row>
    <row r="33" customFormat="false" ht="23.25" hidden="false" customHeight="true" outlineLevel="0" collapsed="false">
      <c r="A33" s="37" t="s">
        <v>383</v>
      </c>
      <c r="B33" s="37" t="s">
        <v>336</v>
      </c>
      <c r="C33" s="37" t="s">
        <v>384</v>
      </c>
      <c r="D33" s="38" t="s">
        <v>385</v>
      </c>
      <c r="E33" s="37" t="s">
        <v>386</v>
      </c>
      <c r="F33" s="39" t="s">
        <v>387</v>
      </c>
    </row>
    <row r="35" customFormat="false" ht="15" hidden="false" customHeight="true" outlineLevel="0" collapsed="false">
      <c r="A35" s="4" t="s">
        <v>388</v>
      </c>
    </row>
    <row r="36" customFormat="false" ht="15" hidden="false" customHeight="true" outlineLevel="0" collapsed="false">
      <c r="A36" s="7" t="s">
        <v>389</v>
      </c>
    </row>
    <row r="37" customFormat="false" ht="15" hidden="false" customHeight="true" outlineLevel="0" collapsed="false">
      <c r="A37" s="7" t="s">
        <v>390</v>
      </c>
    </row>
    <row r="38" customFormat="false" ht="15" hidden="false" customHeight="true" outlineLevel="0" collapsed="false">
      <c r="A38" s="7" t="s">
        <v>391</v>
      </c>
    </row>
    <row r="39" customFormat="false" ht="15" hidden="false" customHeight="true" outlineLevel="0" collapsed="false">
      <c r="A39" s="4" t="s">
        <v>392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88"/>
  </cols>
  <sheetData>
    <row r="1" customFormat="false" ht="30" hidden="false" customHeight="true" outlineLevel="0" collapsed="false">
      <c r="A1" s="16" t="s">
        <v>393</v>
      </c>
      <c r="B1" s="17" t="s">
        <v>394</v>
      </c>
      <c r="C1" s="17" t="s">
        <v>395</v>
      </c>
      <c r="D1" s="17" t="s">
        <v>396</v>
      </c>
    </row>
    <row r="2" customFormat="false" ht="30" hidden="false" customHeight="true" outlineLevel="0" collapsed="false">
      <c r="A2" s="24" t="s">
        <v>397</v>
      </c>
      <c r="B2" s="24" t="s">
        <v>398</v>
      </c>
      <c r="C2" s="26" t="s">
        <v>399</v>
      </c>
      <c r="D2" s="26" t="s">
        <v>400</v>
      </c>
    </row>
    <row r="3" customFormat="false" ht="30" hidden="false" customHeight="true" outlineLevel="0" collapsed="false">
      <c r="A3" s="24" t="s">
        <v>401</v>
      </c>
      <c r="B3" s="24" t="s">
        <v>402</v>
      </c>
      <c r="C3" s="26" t="s">
        <v>399</v>
      </c>
      <c r="D3" s="26" t="s">
        <v>403</v>
      </c>
    </row>
    <row r="4" customFormat="false" ht="30" hidden="false" customHeight="true" outlineLevel="0" collapsed="false">
      <c r="A4" s="24" t="s">
        <v>404</v>
      </c>
      <c r="B4" s="24" t="s">
        <v>405</v>
      </c>
      <c r="C4" s="26" t="s">
        <v>406</v>
      </c>
      <c r="D4" s="26" t="s">
        <v>407</v>
      </c>
    </row>
    <row r="5" customFormat="false" ht="30" hidden="false" customHeight="true" outlineLevel="0" collapsed="false">
      <c r="A5" s="24" t="s">
        <v>408</v>
      </c>
      <c r="B5" s="24" t="s">
        <v>409</v>
      </c>
      <c r="C5" s="26" t="s">
        <v>406</v>
      </c>
      <c r="D5" s="24" t="s">
        <v>410</v>
      </c>
    </row>
    <row r="6" customFormat="false" ht="30" hidden="false" customHeight="true" outlineLevel="0" collapsed="false">
      <c r="A6" s="24" t="s">
        <v>411</v>
      </c>
      <c r="B6" s="24" t="s">
        <v>412</v>
      </c>
      <c r="C6" s="26" t="s">
        <v>406</v>
      </c>
      <c r="D6" s="24" t="s">
        <v>413</v>
      </c>
    </row>
    <row r="7" customFormat="false" ht="30" hidden="false" customHeight="true" outlineLevel="0" collapsed="false">
      <c r="A7" s="24" t="s">
        <v>414</v>
      </c>
      <c r="B7" s="24" t="s">
        <v>415</v>
      </c>
      <c r="C7" s="26" t="s">
        <v>406</v>
      </c>
      <c r="D7" s="26" t="s">
        <v>416</v>
      </c>
    </row>
    <row r="8" customFormat="false" ht="30" hidden="false" customHeight="true" outlineLevel="0" collapsed="false">
      <c r="A8" s="24" t="s">
        <v>417</v>
      </c>
      <c r="B8" s="24" t="s">
        <v>418</v>
      </c>
      <c r="C8" s="26" t="s">
        <v>399</v>
      </c>
      <c r="D8" s="26" t="s">
        <v>419</v>
      </c>
    </row>
    <row r="9" customFormat="false" ht="30" hidden="false" customHeight="true" outlineLevel="0" collapsed="false">
      <c r="A9" s="24" t="s">
        <v>420</v>
      </c>
      <c r="B9" s="24" t="s">
        <v>421</v>
      </c>
      <c r="C9" s="26" t="s">
        <v>422</v>
      </c>
      <c r="D9" s="40" t="s">
        <v>423</v>
      </c>
    </row>
    <row r="10" customFormat="false" ht="30" hidden="false" customHeight="true" outlineLevel="0" collapsed="false">
      <c r="A10" s="24" t="s">
        <v>424</v>
      </c>
      <c r="B10" s="24" t="s">
        <v>425</v>
      </c>
      <c r="C10" s="26" t="s">
        <v>399</v>
      </c>
      <c r="D10" s="26" t="s">
        <v>426</v>
      </c>
    </row>
    <row r="11" customFormat="false" ht="30" hidden="false" customHeight="true" outlineLevel="0" collapsed="false">
      <c r="A11" s="24" t="s">
        <v>427</v>
      </c>
      <c r="B11" s="24" t="s">
        <v>428</v>
      </c>
      <c r="C11" s="26" t="s">
        <v>399</v>
      </c>
      <c r="D11" s="26" t="s">
        <v>429</v>
      </c>
    </row>
    <row r="12" customFormat="false" ht="30" hidden="false" customHeight="true" outlineLevel="0" collapsed="false">
      <c r="A12" s="24" t="s">
        <v>430</v>
      </c>
      <c r="B12" s="24" t="s">
        <v>431</v>
      </c>
      <c r="C12" s="26" t="s">
        <v>399</v>
      </c>
      <c r="D12" s="26" t="s">
        <v>429</v>
      </c>
    </row>
    <row r="13" customFormat="false" ht="30" hidden="false" customHeight="true" outlineLevel="0" collapsed="false">
      <c r="A13" s="24" t="s">
        <v>432</v>
      </c>
      <c r="B13" s="24" t="s">
        <v>433</v>
      </c>
      <c r="C13" s="26" t="s">
        <v>399</v>
      </c>
      <c r="D13" s="26" t="s">
        <v>429</v>
      </c>
    </row>
    <row r="14" customFormat="false" ht="30" hidden="false" customHeight="true" outlineLevel="0" collapsed="false">
      <c r="A14" s="24" t="s">
        <v>434</v>
      </c>
      <c r="B14" s="24" t="s">
        <v>435</v>
      </c>
      <c r="C14" s="26" t="s">
        <v>399</v>
      </c>
      <c r="D14" s="26" t="s">
        <v>436</v>
      </c>
    </row>
    <row r="15" customFormat="false" ht="30" hidden="false" customHeight="true" outlineLevel="0" collapsed="false">
      <c r="A15" s="24" t="s">
        <v>437</v>
      </c>
      <c r="B15" s="24" t="s">
        <v>438</v>
      </c>
      <c r="C15" s="26" t="s">
        <v>439</v>
      </c>
      <c r="D15" s="26" t="s">
        <v>440</v>
      </c>
    </row>
    <row r="16" customFormat="false" ht="30" hidden="false" customHeight="true" outlineLevel="0" collapsed="false">
      <c r="A16" s="24" t="s">
        <v>441</v>
      </c>
      <c r="B16" s="24" t="s">
        <v>442</v>
      </c>
      <c r="C16" s="26" t="s">
        <v>399</v>
      </c>
      <c r="D16" s="26" t="s">
        <v>443</v>
      </c>
    </row>
    <row r="17" customFormat="false" ht="30" hidden="false" customHeight="true" outlineLevel="0" collapsed="false">
      <c r="A17" s="24" t="s">
        <v>444</v>
      </c>
      <c r="B17" s="24" t="s">
        <v>445</v>
      </c>
      <c r="C17" s="24" t="s">
        <v>446</v>
      </c>
      <c r="D17" s="39" t="s">
        <v>447</v>
      </c>
    </row>
    <row r="19" customFormat="false" ht="15" hidden="false" customHeight="true" outlineLevel="0" collapsed="false">
      <c r="A19" s="14" t="s">
        <v>448</v>
      </c>
    </row>
    <row r="20" customFormat="false" ht="15" hidden="false" customHeight="true" outlineLevel="0" collapsed="false">
      <c r="A20" s="7" t="s">
        <v>449</v>
      </c>
    </row>
    <row r="21" customFormat="false" ht="15" hidden="false" customHeight="true" outlineLevel="0" collapsed="false">
      <c r="A21" s="4" t="s">
        <v>450</v>
      </c>
    </row>
    <row r="22" customFormat="false" ht="15" hidden="false" customHeight="true" outlineLevel="0" collapsed="false">
      <c r="A22" s="10" t="s">
        <v>451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2026-07-27T08:50:25Z</dcterms:created>
  <dc:creator>openpyxl</dc:creator>
  <dc:description/>
  <dc:language>en-US</dc:language>
  <cp:lastModifiedBy/>
  <dcterms:modified xsi:type="dcterms:W3CDTF">2026-07-27T08:50:25Z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